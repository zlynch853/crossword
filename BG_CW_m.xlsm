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nchZ20\Desktop\Misc\BG_CW\"/>
    </mc:Choice>
  </mc:AlternateContent>
  <xr:revisionPtr revIDLastSave="0" documentId="13_ncr:1_{8651327C-02B1-49B7-A56D-7C9FE95EE68C}" xr6:coauthVersionLast="46" xr6:coauthVersionMax="46" xr10:uidLastSave="{00000000-0000-0000-0000-000000000000}"/>
  <bookViews>
    <workbookView xWindow="38290" yWindow="-110" windowWidth="38620" windowHeight="21220" xr2:uid="{00000000-000D-0000-FFFF-FFFF00000000}"/>
  </bookViews>
  <sheets>
    <sheet name="Home" sheetId="966" r:id="rId1"/>
    <sheet name="Report" sheetId="11" r:id="rId2"/>
    <sheet name="Solution" sheetId="13" r:id="rId3"/>
    <sheet name="Raw" sheetId="924" r:id="rId4"/>
    <sheet name="Across" sheetId="925" r:id="rId5"/>
    <sheet name="Down" sheetId="926" r:id="rId6"/>
    <sheet name="Title" sheetId="927" r:id="rId7"/>
    <sheet name="Solution_Raw" sheetId="928" r:id="rId8"/>
  </sheets>
  <definedNames>
    <definedName name="_xlnm.Print_Area" localSheetId="1">Report!$A$1:$S$44</definedName>
    <definedName name="_xlnm.Print_Area" localSheetId="2">Solution!$C$1:$S$17</definedName>
  </definedNames>
  <calcPr calcId="181029" concurrentCalc="0" concurrentManualCount="4"/>
</workbook>
</file>

<file path=xl/calcChain.xml><?xml version="1.0" encoding="utf-8"?>
<calcChain xmlns="http://schemas.openxmlformats.org/spreadsheetml/2006/main">
  <c r="C68" i="11" l="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R3" i="13"/>
  <c r="Q3" i="13"/>
  <c r="P3" i="13"/>
  <c r="O3" i="13"/>
  <c r="N3" i="13"/>
  <c r="M3" i="13"/>
  <c r="L3" i="13"/>
  <c r="K3" i="13"/>
  <c r="J3" i="13"/>
  <c r="I3" i="13"/>
  <c r="H3" i="13"/>
  <c r="G3" i="13"/>
  <c r="F3" i="13"/>
  <c r="E3" i="13"/>
  <c r="D3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5" i="11"/>
  <c r="B5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2" i="11"/>
</calcChain>
</file>

<file path=xl/sharedStrings.xml><?xml version="1.0" encoding="utf-8"?>
<sst xmlns="http://schemas.openxmlformats.org/spreadsheetml/2006/main" count="689" uniqueCount="270">
  <si>
    <t>Across:</t>
  </si>
  <si>
    <t>Down:</t>
  </si>
  <si>
    <t>ind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</si>
  <si>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</si>
  <si>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</si>
  <si>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</si>
  <si>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</si>
  <si>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</si>
  <si>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</si>
  <si>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</si>
  <si>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</si>
  <si>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</si>
  <si>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</si>
  <si>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</si>
  <si>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</si>
  <si>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</si>
  <si>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</si>
  <si>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</si>
  <si>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1</t>
  </si>
  <si>
    <t>2</t>
  </si>
  <si>
    <t>3</t>
  </si>
  <si>
    <t>4</t>
  </si>
  <si>
    <t>5</t>
  </si>
  <si>
    <t>X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</si>
  <si>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</si>
  <si>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</si>
  <si>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</si>
  <si>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</si>
  <si>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</si>
  <si>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</si>
  <si>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</si>
  <si>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</si>
  <si>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</si>
  <si>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/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</si>
  <si>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</si>
  <si>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</si>
  <si>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</si>
  <si>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</si>
  <si>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</si>
  <si>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</si>
  <si>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</si>
  <si>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</si>
  <si>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</si>
  <si>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</si>
  <si>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</si>
  <si>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</si>
  <si>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</si>
  <si>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</si>
  <si>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</si>
  <si>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</si>
  <si>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</si>
  <si>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</si>
  <si>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</si>
  <si>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</si>
  <si>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</si>
  <si>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</si>
  <si>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</si>
  <si>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</si>
  <si>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</si>
  <si>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</si>
  <si>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</si>
  <si>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</si>
  <si>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</si>
  <si>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</si>
  <si>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</si>
  <si>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</si>
  <si>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</si>
  <si>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</si>
  <si>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</si>
  <si>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</si>
  <si>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</si>
  <si>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</si>
  <si>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</si>
  <si>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</si>
  <si>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</si>
  <si>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</si>
  <si>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</si>
  <si>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</si>
  <si>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</si>
  <si>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</si>
  <si>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</si>
  <si>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</si>
  <si>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</si>
  <si>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</si>
  <si>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</si>
  <si>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</si>
  <si>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text</t>
  </si>
  <si>
    <t>lbl</t>
  </si>
  <si>
    <t>clue</t>
  </si>
  <si>
    <t>dir</t>
  </si>
  <si>
    <t>1. Completely puzzle</t>
  </si>
  <si>
    <t>Completely puzzle</t>
  </si>
  <si>
    <t>across</t>
  </si>
  <si>
    <t>6. Father's Day VIP</t>
  </si>
  <si>
    <t>Father's Day VIP</t>
  </si>
  <si>
    <t>10. Ooze</t>
  </si>
  <si>
    <t>Ooze</t>
  </si>
  <si>
    <t>14. River through Rome</t>
  </si>
  <si>
    <t>River through Rome</t>
  </si>
  <si>
    <t>15. He was slain by Cain</t>
  </si>
  <si>
    <t>He was slain by Cain</t>
  </si>
  <si>
    <t>16. Weigh station unit</t>
  </si>
  <si>
    <t>Weigh station unit</t>
  </si>
  <si>
    <t>17. January, in Jalisco</t>
  </si>
  <si>
    <t>January, in Jalisco</t>
  </si>
  <si>
    <t>18. Wynonna or Wyatt</t>
  </si>
  <si>
    <t>Wynonna or Wyatt</t>
  </si>
  <si>
    <t>19. Practice in the ring</t>
  </si>
  <si>
    <t>Practice in the ring</t>
  </si>
  <si>
    <t>20. ___ bliss (last 4 letters in this answer ...)</t>
  </si>
  <si>
    <t>___ bliss (last 4 letters in this answer ...)</t>
  </si>
  <si>
    <t>22. Bilbo Baggins portrayer (... + first 3)</t>
  </si>
  <si>
    <t>Bilbo Baggins portrayer (... + first 3)</t>
  </si>
  <si>
    <t>24. Singer Diamond</t>
  </si>
  <si>
    <t>Singer Diamond</t>
  </si>
  <si>
    <t>25. Cyber ops grp.</t>
  </si>
  <si>
    <t>Cyber ops grp.</t>
  </si>
  <si>
    <t>26. Falls in two countries (last 3 ...)</t>
  </si>
  <si>
    <t>Falls in two countries (last 3 ...)</t>
  </si>
  <si>
    <t>29. One may have a basket and a bell (... + first 3)</t>
  </si>
  <si>
    <t>One may have a basket and a bell (... + first 3)</t>
  </si>
  <si>
    <t>33. Pelvic bone</t>
  </si>
  <si>
    <t>Pelvic bone</t>
  </si>
  <si>
    <t>34. Teenage skin trouble</t>
  </si>
  <si>
    <t>Teenage skin trouble</t>
  </si>
  <si>
    <t>35. Race, as an engine</t>
  </si>
  <si>
    <t>Race, as an engine</t>
  </si>
  <si>
    <t>36. Rudolph's is red</t>
  </si>
  <si>
    <t>Rudolph's is red</t>
  </si>
  <si>
    <t>37. Insurer known for its gecko</t>
  </si>
  <si>
    <t>Insurer known for its gecko</t>
  </si>
  <si>
    <t>39. "The Gift of the ___"</t>
  </si>
  <si>
    <t>"The Gift of the ___"</t>
  </si>
  <si>
    <t>40. Non-native speaker's subj.</t>
  </si>
  <si>
    <t>Non-native speaker's subj.</t>
  </si>
  <si>
    <t>41. Risk territory west of Siberia</t>
  </si>
  <si>
    <t>Risk territory west of Siberia</t>
  </si>
  <si>
    <t>42. Occupied, like a diner booth</t>
  </si>
  <si>
    <t>Occupied, like a diner booth</t>
  </si>
  <si>
    <t>43. Rod in old movies (last 3 ...)</t>
  </si>
  <si>
    <t>Rod in old movies (last 3 ...)</t>
  </si>
  <si>
    <t>45. "___: Long Walk to Freedom" (... + first 3)</t>
  </si>
  <si>
    <t>"___: Long Walk to Freedom" (... + first 3)</t>
  </si>
  <si>
    <t>47. Browns' city: Abbr.</t>
  </si>
  <si>
    <t>Browns' city: Abbr.</t>
  </si>
  <si>
    <t>48. Cold drink brand</t>
  </si>
  <si>
    <t>Cold drink brand</t>
  </si>
  <si>
    <t>49. Word after "time" or "slot" (last 5 ...)</t>
  </si>
  <si>
    <t>Word after "time" or "slot" (last 5 ...)</t>
  </si>
  <si>
    <t>53. Popular chip flavoring (... + first 2)</t>
  </si>
  <si>
    <t>Popular chip flavoring (... + first 2)</t>
  </si>
  <si>
    <t>57. Response to a startling greeting</t>
  </si>
  <si>
    <t>Response to a startling greeting</t>
  </si>
  <si>
    <t>58. Mild expletive</t>
  </si>
  <si>
    <t>Mild expletive</t>
  </si>
  <si>
    <t>60. Journalist Couric</t>
  </si>
  <si>
    <t>Journalist Couric</t>
  </si>
  <si>
    <t>61. Fly like an eagle</t>
  </si>
  <si>
    <t>Fly like an eagle</t>
  </si>
  <si>
    <t>62. Capitol Hill staffer</t>
  </si>
  <si>
    <t>Capitol Hill staffer</t>
  </si>
  <si>
    <t>63. Actor Zac</t>
  </si>
  <si>
    <t>Actor Zac</t>
  </si>
  <si>
    <t>64. "So far, so goof" has one</t>
  </si>
  <si>
    <t>"So far, so goof" has one</t>
  </si>
  <si>
    <t>65. Common subscription length</t>
  </si>
  <si>
    <t>Common subscription length</t>
  </si>
  <si>
    <t>66. Campus bigwigs</t>
  </si>
  <si>
    <t>Campus bigwigs</t>
  </si>
  <si>
    <t>1. Support for a rose</t>
  </si>
  <si>
    <t>Support for a rose</t>
  </si>
  <si>
    <t>down</t>
  </si>
  <si>
    <t>2. Singer Turner</t>
  </si>
  <si>
    <t>Singer Turner</t>
  </si>
  <si>
    <t>3. Lift that's not a Lyft</t>
  </si>
  <si>
    <t>Lift that's not a Lyft</t>
  </si>
  <si>
    <t>4. Lemon pie topping</t>
  </si>
  <si>
    <t>Lemon pie topping</t>
  </si>
  <si>
    <t>5. NFL or NHL squad</t>
  </si>
  <si>
    <t>NFL or NHL squad</t>
  </si>
  <si>
    <t>6. Spanish rice dish</t>
  </si>
  <si>
    <t>Spanish rice dish</t>
  </si>
  <si>
    <t>7. Org. for attorneys</t>
  </si>
  <si>
    <t>Org. for attorneys</t>
  </si>
  <si>
    <t>8. Prefix with "scope"</t>
  </si>
  <si>
    <t>Prefix with "scope"</t>
  </si>
  <si>
    <t>9. "The Irishman" star</t>
  </si>
  <si>
    <t>"The Irishman" star</t>
  </si>
  <si>
    <t>10. Strut down the runway</t>
  </si>
  <si>
    <t>Strut down the runway</t>
  </si>
  <si>
    <t>11. Huge event</t>
  </si>
  <si>
    <t>Huge event</t>
  </si>
  <si>
    <t>12. Carrier to Tel Aviv</t>
  </si>
  <si>
    <t>Carrier to Tel Aviv</t>
  </si>
  <si>
    <t>13. 'Do for a while</t>
  </si>
  <si>
    <t>'Do for a while</t>
  </si>
  <si>
    <t>21. Tire filler</t>
  </si>
  <si>
    <t>Tire filler</t>
  </si>
  <si>
    <t>23. Naughty or ___</t>
  </si>
  <si>
    <t>Naughty or ___</t>
  </si>
  <si>
    <t>26. Highest digits in Sudoku</t>
  </si>
  <si>
    <t>Highest digits in Sudoku</t>
  </si>
  <si>
    <t>27. Statement about a past defeat</t>
  </si>
  <si>
    <t>Statement about a past defeat</t>
  </si>
  <si>
    <t>28. Airplane passageway</t>
  </si>
  <si>
    <t>Airplane passageway</t>
  </si>
  <si>
    <t>29. Covertly loop in</t>
  </si>
  <si>
    <t>Covertly loop in</t>
  </si>
  <si>
    <t>30. Box of oranges</t>
  </si>
  <si>
    <t>Box of oranges</t>
  </si>
  <si>
    <t>31. Permitted by law</t>
  </si>
  <si>
    <t>Permitted by law</t>
  </si>
  <si>
    <t>32. Musical set in Argentina</t>
  </si>
  <si>
    <t>Musical set in Argentina</t>
  </si>
  <si>
    <t>34. Feel unwell</t>
  </si>
  <si>
    <t>Feel unwell</t>
  </si>
  <si>
    <t>37. "21st Century Breakdown" band</t>
  </si>
  <si>
    <t>"21st Century Breakdown" band</t>
  </si>
  <si>
    <t>38. Site of a small canal</t>
  </si>
  <si>
    <t>Site of a small canal</t>
  </si>
  <si>
    <t>39. Babyproofed, say</t>
  </si>
  <si>
    <t>Babyproofed, say</t>
  </si>
  <si>
    <t>41. Wrinkly fruit</t>
  </si>
  <si>
    <t>Wrinkly fruit</t>
  </si>
  <si>
    <t>42. Crept</t>
  </si>
  <si>
    <t>Crept</t>
  </si>
  <si>
    <t>44. Suzuki of baseball</t>
  </si>
  <si>
    <t>Suzuki of baseball</t>
  </si>
  <si>
    <t>45. Title abbreviated to its first and last letters</t>
  </si>
  <si>
    <t>Title abbreviated to its first and last letters</t>
  </si>
  <si>
    <t>46. Point of no return?</t>
  </si>
  <si>
    <t>Point of no return?</t>
  </si>
  <si>
    <t>49. Nearly all</t>
  </si>
  <si>
    <t>Nearly all</t>
  </si>
  <si>
    <t>50. Nautical greeting</t>
  </si>
  <si>
    <t>Nautical greeting</t>
  </si>
  <si>
    <t>51. British fellow</t>
  </si>
  <si>
    <t>British fellow</t>
  </si>
  <si>
    <t>52. A Great Lake</t>
  </si>
  <si>
    <t>A Great Lake</t>
  </si>
  <si>
    <t>54. Gillette razor</t>
  </si>
  <si>
    <t>Gillette razor</t>
  </si>
  <si>
    <t>55. Animal in a pride</t>
  </si>
  <si>
    <t>Animal in a pride</t>
  </si>
  <si>
    <t>56. Perfect scores for divers</t>
  </si>
  <si>
    <t>Perfect scores for divers</t>
  </si>
  <si>
    <t>59. Toothpaste tube letters</t>
  </si>
  <si>
    <t>Toothpaste tube letters</t>
  </si>
  <si>
    <t>LANGUAGE BARRIER By George Jasper, Andrews McMeel Syndication</t>
  </si>
  <si>
    <t>S</t>
  </si>
  <si>
    <t>T</t>
  </si>
  <si>
    <t>U</t>
  </si>
  <si>
    <t>M</t>
  </si>
  <si>
    <t>P</t>
  </si>
  <si>
    <t>A</t>
  </si>
  <si>
    <t>E</t>
  </si>
  <si>
    <t>I</t>
  </si>
  <si>
    <t>B</t>
  </si>
  <si>
    <t>R</t>
  </si>
  <si>
    <t>L</t>
  </si>
  <si>
    <t>N</t>
  </si>
  <si>
    <t>O</t>
  </si>
  <si>
    <t>H</t>
  </si>
  <si>
    <t>C</t>
  </si>
  <si>
    <t>G</t>
  </si>
  <si>
    <t>Y</t>
  </si>
  <si>
    <t>V</t>
  </si>
  <si>
    <t>D</t>
  </si>
  <si>
    <t>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</si>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</sst>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</font>
    <font>
      <u/>
      <sz val="11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4" fillId="0" borderId="3" xfId="0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2"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68580</xdr:rowOff>
        </xdr:from>
        <xdr:to>
          <xdr:col>3</xdr:col>
          <xdr:colOff>255270</xdr:colOff>
          <xdr:row>3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434340</xdr:colOff>
          <xdr:row>5</xdr:row>
          <xdr:rowOff>76200</xdr:rowOff>
        </xdr:from>
        <xdr:to>
          <xdr:col>3</xdr:col>
          <xdr:colOff>270510</xdr:colOff>
          <xdr:row>7</xdr:row>
          <xdr:rowOff>118110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71B09-F95B-48A4-AE16-E5EE51F6C7AB}">
  <sheetPr codeName="Sheet8"/>
  <dimension ref="B2:D8"/>
  <sheetViews>
    <sheetView showGridLines="0" tabSelected="1" zoomScale="175" zoomScaleNormal="175" workbookViewId="0"/>
  </sheetViews>
  <sheetFormatPr defaultRowHeight="14.4" x14ac:dyDescent="0.55000000000000004"/>
  <cols>
    <col min="1" max="1" width="3.05078125" customWidth="1"/>
    <col min="2" max="3" width="11.83984375" customWidth="1"/>
  </cols>
  <sheetData>
    <row r="2" spans="2:4" x14ac:dyDescent="0.55000000000000004">
      <c r="B2" s="6"/>
      <c r="C2" s="6"/>
      <c r="D2" s="6"/>
    </row>
    <row r="3" spans="2:4" x14ac:dyDescent="0.55000000000000004">
      <c r="B3" s="6"/>
      <c r="C3" s="6"/>
      <c r="D3" s="6"/>
    </row>
    <row r="4" spans="2:4" x14ac:dyDescent="0.55000000000000004">
      <c r="B4" s="6"/>
      <c r="C4" s="6"/>
      <c r="D4" s="6"/>
    </row>
    <row r="6" spans="2:4" x14ac:dyDescent="0.55000000000000004">
      <c r="B6" s="7"/>
      <c r="C6" s="7"/>
      <c r="D6" s="7"/>
    </row>
    <row r="7" spans="2:4" x14ac:dyDescent="0.55000000000000004">
      <c r="B7" s="7"/>
      <c r="C7" s="7"/>
      <c r="D7" s="7"/>
    </row>
    <row r="8" spans="2:4" x14ac:dyDescent="0.55000000000000004">
      <c r="B8" s="7"/>
      <c r="C8" s="7"/>
      <c r="D8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PrintPuzzle">
                <anchor moveWithCells="1" sizeWithCells="1">
                  <from>
                    <xdr:col>1</xdr:col>
                    <xdr:colOff>411480</xdr:colOff>
                    <xdr:row>1</xdr:row>
                    <xdr:rowOff>68580</xdr:rowOff>
                  </from>
                  <to>
                    <xdr:col>3</xdr:col>
                    <xdr:colOff>255270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PrintSolutions">
                <anchor moveWithCells="1" sizeWithCells="1">
                  <from>
                    <xdr:col>1</xdr:col>
                    <xdr:colOff>434340</xdr:colOff>
                    <xdr:row>5</xdr:row>
                    <xdr:rowOff>76200</xdr:rowOff>
                  </from>
                  <to>
                    <xdr:col>3</xdr:col>
                    <xdr:colOff>270510</xdr:colOff>
                    <xdr:row>7</xdr:row>
                    <xdr:rowOff>118110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79998168889431442"/>
    <pageSetUpPr fitToPage="1"/>
  </sheetPr>
  <dimension ref="B2:R68"/>
  <sheetViews>
    <sheetView showGridLines="0" zoomScale="80" zoomScaleNormal="80" workbookViewId="0"/>
  </sheetViews>
  <sheetFormatPr defaultRowHeight="14.4" x14ac:dyDescent="0.55000000000000004"/>
  <cols>
    <col min="1" max="1" width="3.62890625" customWidth="1"/>
    <col min="2" max="2" width="42.9453125" customWidth="1"/>
    <col min="3" max="3" width="41.05078125" customWidth="1"/>
    <col min="4" max="18" width="5.05078125" customWidth="1"/>
    <col min="19" max="19" width="3.62890625" customWidth="1"/>
  </cols>
  <sheetData>
    <row r="2" spans="2:18" ht="16.8" customHeight="1" x14ac:dyDescent="0.65">
      <c r="B2" s="1" t="str">
        <f>Title!$A$1</f>
        <v>LANGUAGE BARRIER By George Jasper, Andrews McMeel Syndication</v>
      </c>
    </row>
    <row r="4" spans="2:18" x14ac:dyDescent="0.55000000000000004">
      <c r="B4" s="2" t="s">
        <v>0</v>
      </c>
      <c r="C4" s="2" t="s">
        <v>1</v>
      </c>
      <c r="D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</v>
      </c>
      <c r="E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</v>
      </c>
      <c r="F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</v>
      </c>
      <c r="G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</v>
      </c>
      <c r="H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</v>
      </c>
      <c r="I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</v>
      </c>
      <c r="K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7</v>
      </c>
      <c r="L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8</v>
      </c>
      <c r="M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9</v>
      </c>
      <c r="N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10</v>
      </c>
      <c r="P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11</v>
      </c>
      <c r="Q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12</v>
      </c>
      <c r="R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13</v>
      </c>
    </row>
    <row r="5" spans="2:18" x14ac:dyDescent="0.55000000000000004">
      <c r="B5" t="str">
        <f>IFERROR(INDEX(Across!$A:$E, MATCH(ROW()-4, Across!$A:$A, 0), MATCH("text", Across!$A$1:$E$1, 0)), "")</f>
        <v>1. Completely puzzle</v>
      </c>
      <c r="C5" t="str">
        <f>IFERROR(INDEX(Down!$A:$E, MATCH(ROW()-4, Down!$A:$A, 0), MATCH("text", Down!$A$1:$E$1, 0)), "")</f>
        <v>1. Support for a rose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2:18" x14ac:dyDescent="0.55000000000000004">
      <c r="B6" t="str">
        <f>IFERROR(INDEX(Across!$A:$E, MATCH(ROW()-4, Across!$A:$A, 0), MATCH("text", Across!$A$1:$E$1, 0)), "")</f>
        <v>6. Father's Day VIP</v>
      </c>
      <c r="C6" t="str">
        <f>IFERROR(INDEX(Down!$A:$E, MATCH(ROW()-4, Down!$A:$A, 0), MATCH("text", Down!$A$1:$E$1, 0)), "")</f>
        <v>2. Singer Turner</v>
      </c>
      <c r="D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14</v>
      </c>
      <c r="E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15</v>
      </c>
      <c r="K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16</v>
      </c>
      <c r="P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7" spans="2:18" x14ac:dyDescent="0.55000000000000004">
      <c r="B7" t="str">
        <f>IFERROR(INDEX(Across!$A:$E, MATCH(ROW()-4, Across!$A:$A, 0), MATCH("text", Across!$A$1:$E$1, 0)), "")</f>
        <v>10. Ooze</v>
      </c>
      <c r="C7" t="str">
        <f>IFERROR(INDEX(Down!$A:$E, MATCH(ROW()-4, Down!$A:$A, 0), MATCH("text", Down!$A$1:$E$1, 0)), "")</f>
        <v>3. Lift that's not a Lyft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2:18" x14ac:dyDescent="0.55000000000000004">
      <c r="B8" t="str">
        <f>IFERROR(INDEX(Across!$A:$E, MATCH(ROW()-4, Across!$A:$A, 0), MATCH("text", Across!$A$1:$E$1, 0)), "")</f>
        <v>14. River through Rome</v>
      </c>
      <c r="C8" t="str">
        <f>IFERROR(INDEX(Down!$A:$E, MATCH(ROW()-4, Down!$A:$A, 0), MATCH("text", Down!$A$1:$E$1, 0)), "")</f>
        <v>4. Lemon pie topping</v>
      </c>
      <c r="D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17</v>
      </c>
      <c r="E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18</v>
      </c>
      <c r="K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19</v>
      </c>
      <c r="P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9" spans="2:18" x14ac:dyDescent="0.55000000000000004">
      <c r="B9" t="str">
        <f>IFERROR(INDEX(Across!$A:$E, MATCH(ROW()-4, Across!$A:$A, 0), MATCH("text", Across!$A$1:$E$1, 0)), "")</f>
        <v>15. He was slain by Cain</v>
      </c>
      <c r="C9" t="str">
        <f>IFERROR(INDEX(Down!$A:$E, MATCH(ROW()-4, Down!$A:$A, 0), MATCH("text", Down!$A$1:$E$1, 0)), "")</f>
        <v>5. NFL or NHL squad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2:18" x14ac:dyDescent="0.55000000000000004">
      <c r="B10" t="str">
        <f>IFERROR(INDEX(Across!$A:$E, MATCH(ROW()-4, Across!$A:$A, 0), MATCH("text", Across!$A$1:$E$1, 0)), "")</f>
        <v>16. Weigh station unit</v>
      </c>
      <c r="C10" t="str">
        <f>IFERROR(INDEX(Down!$A:$E, MATCH(ROW()-4, Down!$A:$A, 0), MATCH("text", Down!$A$1:$E$1, 0)), "")</f>
        <v>6. Spanish rice dish</v>
      </c>
      <c r="D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20</v>
      </c>
      <c r="E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21</v>
      </c>
      <c r="J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22</v>
      </c>
      <c r="M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23</v>
      </c>
      <c r="O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1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11" spans="2:18" x14ac:dyDescent="0.55000000000000004">
      <c r="B11" t="str">
        <f>IFERROR(INDEX(Across!$A:$E, MATCH(ROW()-4, Across!$A:$A, 0), MATCH("text", Across!$A$1:$E$1, 0)), "")</f>
        <v>17. January, in Jalisco</v>
      </c>
      <c r="C11" t="str">
        <f>IFERROR(INDEX(Down!$A:$E, MATCH(ROW()-4, Down!$A:$A, 0), MATCH("text", Down!$A$1:$E$1, 0)), "")</f>
        <v>7. Org. for attorneys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2:18" x14ac:dyDescent="0.55000000000000004">
      <c r="B12" t="str">
        <f>IFERROR(INDEX(Across!$A:$E, MATCH(ROW()-4, Across!$A:$A, 0), MATCH("text", Across!$A$1:$E$1, 0)), "")</f>
        <v>18. Wynonna or Wyatt</v>
      </c>
      <c r="C12" t="str">
        <f>IFERROR(INDEX(Down!$A:$E, MATCH(ROW()-4, Down!$A:$A, 0), MATCH("text", Down!$A$1:$E$1, 0)), "")</f>
        <v>8. Prefix with "scope"</v>
      </c>
      <c r="D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E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24</v>
      </c>
      <c r="H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25</v>
      </c>
      <c r="N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1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13" spans="2:18" x14ac:dyDescent="0.55000000000000004">
      <c r="B13" t="str">
        <f>IFERROR(INDEX(Across!$A:$E, MATCH(ROW()-4, Across!$A:$A, 0), MATCH("text", Across!$A$1:$E$1, 0)), "")</f>
        <v>19. Practice in the ring</v>
      </c>
      <c r="C13" t="str">
        <f>IFERROR(INDEX(Down!$A:$E, MATCH(ROW()-4, Down!$A:$A, 0), MATCH("text", Down!$A$1:$E$1, 0)), "")</f>
        <v>9. "The Irishman" star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2:18" x14ac:dyDescent="0.55000000000000004">
      <c r="B14" t="str">
        <f>IFERROR(INDEX(Across!$A:$E, MATCH(ROW()-4, Across!$A:$A, 0), MATCH("text", Across!$A$1:$E$1, 0)), "")</f>
        <v>20. ___ bliss (last 4 letters in this answer ...)</v>
      </c>
      <c r="C14" t="str">
        <f>IFERROR(INDEX(Down!$A:$E, MATCH(ROW()-4, Down!$A:$A, 0), MATCH("text", Down!$A$1:$E$1, 0)), "")</f>
        <v>10. Strut down the runway</v>
      </c>
      <c r="D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26</v>
      </c>
      <c r="E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27</v>
      </c>
      <c r="F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28</v>
      </c>
      <c r="G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29</v>
      </c>
      <c r="M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30</v>
      </c>
      <c r="Q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31</v>
      </c>
      <c r="R1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32</v>
      </c>
    </row>
    <row r="15" spans="2:18" x14ac:dyDescent="0.55000000000000004">
      <c r="B15" t="str">
        <f>IFERROR(INDEX(Across!$A:$E, MATCH(ROW()-4, Across!$A:$A, 0), MATCH("text", Across!$A$1:$E$1, 0)), "")</f>
        <v>22. Bilbo Baggins portrayer (... + first 3)</v>
      </c>
      <c r="C15" t="str">
        <f>IFERROR(INDEX(Down!$A:$E, MATCH(ROW()-4, Down!$A:$A, 0), MATCH("text", Down!$A$1:$E$1, 0)), "")</f>
        <v>11. Huge event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8" x14ac:dyDescent="0.55000000000000004">
      <c r="B16" t="str">
        <f>IFERROR(INDEX(Across!$A:$E, MATCH(ROW()-4, Across!$A:$A, 0), MATCH("text", Across!$A$1:$E$1, 0)), "")</f>
        <v>24. Singer Diamond</v>
      </c>
      <c r="C16" t="str">
        <f>IFERROR(INDEX(Down!$A:$E, MATCH(ROW()-4, Down!$A:$A, 0), MATCH("text", Down!$A$1:$E$1, 0)), "")</f>
        <v>12. Carrier to Tel Aviv</v>
      </c>
      <c r="D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33</v>
      </c>
      <c r="E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34</v>
      </c>
      <c r="L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35</v>
      </c>
      <c r="Q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1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17" spans="2:18" x14ac:dyDescent="0.55000000000000004">
      <c r="B17" t="str">
        <f>IFERROR(INDEX(Across!$A:$E, MATCH(ROW()-4, Across!$A:$A, 0), MATCH("text", Across!$A$1:$E$1, 0)), "")</f>
        <v>25. Cyber ops grp.</v>
      </c>
      <c r="C17" t="str">
        <f>IFERROR(INDEX(Down!$A:$E, MATCH(ROW()-4, Down!$A:$A, 0), MATCH("text", Down!$A$1:$E$1, 0)), "")</f>
        <v>13. 'Do for a while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2:18" x14ac:dyDescent="0.55000000000000004">
      <c r="B18" t="str">
        <f>IFERROR(INDEX(Across!$A:$E, MATCH(ROW()-4, Across!$A:$A, 0), MATCH("text", Across!$A$1:$E$1, 0)), "")</f>
        <v>26. Falls in two countries (last 3 ...)</v>
      </c>
      <c r="C18" t="str">
        <f>IFERROR(INDEX(Down!$A:$E, MATCH(ROW()-4, Down!$A:$A, 0), MATCH("text", Down!$A$1:$E$1, 0)), "")</f>
        <v>21. Tire filler</v>
      </c>
      <c r="D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36</v>
      </c>
      <c r="E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37</v>
      </c>
      <c r="J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38</v>
      </c>
      <c r="K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39</v>
      </c>
      <c r="P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1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19" spans="2:18" x14ac:dyDescent="0.55000000000000004">
      <c r="B19" t="str">
        <f>IFERROR(INDEX(Across!$A:$E, MATCH(ROW()-4, Across!$A:$A, 0), MATCH("text", Across!$A$1:$E$1, 0)), "")</f>
        <v>29. One may have a basket and a bell (... + first 3)</v>
      </c>
      <c r="C19" t="str">
        <f>IFERROR(INDEX(Down!$A:$E, MATCH(ROW()-4, Down!$A:$A, 0), MATCH("text", Down!$A$1:$E$1, 0)), "")</f>
        <v>23. Naughty or ___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2:18" x14ac:dyDescent="0.55000000000000004">
      <c r="B20" t="str">
        <f>IFERROR(INDEX(Across!$A:$E, MATCH(ROW()-4, Across!$A:$A, 0), MATCH("text", Across!$A$1:$E$1, 0)), "")</f>
        <v>33. Pelvic bone</v>
      </c>
      <c r="C20" t="str">
        <f>IFERROR(INDEX(Down!$A:$E, MATCH(ROW()-4, Down!$A:$A, 0), MATCH("text", Down!$A$1:$E$1, 0)), "")</f>
        <v>26. Highest digits in Sudoku</v>
      </c>
      <c r="D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40</v>
      </c>
      <c r="E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41</v>
      </c>
      <c r="I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42</v>
      </c>
      <c r="O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2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21" spans="2:18" x14ac:dyDescent="0.55000000000000004">
      <c r="B21" t="str">
        <f>IFERROR(INDEX(Across!$A:$E, MATCH(ROW()-4, Across!$A:$A, 0), MATCH("text", Across!$A$1:$E$1, 0)), "")</f>
        <v>34. Teenage skin trouble</v>
      </c>
      <c r="C21" t="str">
        <f>IFERROR(INDEX(Down!$A:$E, MATCH(ROW()-4, Down!$A:$A, 0), MATCH("text", Down!$A$1:$E$1, 0)), "")</f>
        <v>27. Statement about a past defeat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2:18" x14ac:dyDescent="0.55000000000000004">
      <c r="B22" t="str">
        <f>IFERROR(INDEX(Across!$A:$E, MATCH(ROW()-4, Across!$A:$A, 0), MATCH("text", Across!$A$1:$E$1, 0)), "")</f>
        <v>35. Race, as an engine</v>
      </c>
      <c r="C22" t="str">
        <f>IFERROR(INDEX(Down!$A:$E, MATCH(ROW()-4, Down!$A:$A, 0), MATCH("text", Down!$A$1:$E$1, 0)), "")</f>
        <v>28. Airplane passageway</v>
      </c>
      <c r="D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43</v>
      </c>
      <c r="E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44</v>
      </c>
      <c r="H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45</v>
      </c>
      <c r="M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46</v>
      </c>
      <c r="N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2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23" spans="2:18" x14ac:dyDescent="0.55000000000000004">
      <c r="B23" t="str">
        <f>IFERROR(INDEX(Across!$A:$E, MATCH(ROW()-4, Across!$A:$A, 0), MATCH("text", Across!$A$1:$E$1, 0)), "")</f>
        <v>36. Rudolph's is red</v>
      </c>
      <c r="C23" t="str">
        <f>IFERROR(INDEX(Down!$A:$E, MATCH(ROW()-4, Down!$A:$A, 0), MATCH("text", Down!$A$1:$E$1, 0)), "")</f>
        <v>29. Covertly loop in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2:18" x14ac:dyDescent="0.55000000000000004">
      <c r="B24" t="str">
        <f>IFERROR(INDEX(Across!$A:$E, MATCH(ROW()-4, Across!$A:$A, 0), MATCH("text", Across!$A$1:$E$1, 0)), "")</f>
        <v>37. Insurer known for its gecko</v>
      </c>
      <c r="C24" t="str">
        <f>IFERROR(INDEX(Down!$A:$E, MATCH(ROW()-4, Down!$A:$A, 0), MATCH("text", Down!$A$1:$E$1, 0)), "")</f>
        <v>30. Box of oranges</v>
      </c>
      <c r="D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E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47</v>
      </c>
      <c r="H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48</v>
      </c>
      <c r="M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24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25" spans="2:18" x14ac:dyDescent="0.55000000000000004">
      <c r="B25" t="str">
        <f>IFERROR(INDEX(Across!$A:$E, MATCH(ROW()-4, Across!$A:$A, 0), MATCH("text", Across!$A$1:$E$1, 0)), "")</f>
        <v>39. "The Gift of the ___"</v>
      </c>
      <c r="C25" t="str">
        <f>IFERROR(INDEX(Down!$A:$E, MATCH(ROW()-4, Down!$A:$A, 0), MATCH("text", Down!$A$1:$E$1, 0)), "")</f>
        <v>31. Permitted by law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2:18" x14ac:dyDescent="0.55000000000000004">
      <c r="B26" t="str">
        <f>IFERROR(INDEX(Across!$A:$E, MATCH(ROW()-4, Across!$A:$A, 0), MATCH("text", Across!$A$1:$E$1, 0)), "")</f>
        <v>40. Non-native speaker's subj.</v>
      </c>
      <c r="C26" t="str">
        <f>IFERROR(INDEX(Down!$A:$E, MATCH(ROW()-4, Down!$A:$A, 0), MATCH("text", Down!$A$1:$E$1, 0)), "")</f>
        <v>32. Musical set in Argentina</v>
      </c>
      <c r="D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49</v>
      </c>
      <c r="E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50</v>
      </c>
      <c r="F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51</v>
      </c>
      <c r="G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J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52</v>
      </c>
      <c r="K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53</v>
      </c>
      <c r="M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O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54</v>
      </c>
      <c r="Q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55</v>
      </c>
      <c r="R26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56</v>
      </c>
    </row>
    <row r="27" spans="2:18" x14ac:dyDescent="0.55000000000000004">
      <c r="B27" t="str">
        <f>IFERROR(INDEX(Across!$A:$E, MATCH(ROW()-4, Across!$A:$A, 0), MATCH("text", Across!$A$1:$E$1, 0)), "")</f>
        <v>41. Risk territory west of Siberia</v>
      </c>
      <c r="C27" t="str">
        <f>IFERROR(INDEX(Down!$A:$E, MATCH(ROW()-4, Down!$A:$A, 0), MATCH("text", Down!$A$1:$E$1, 0)), "")</f>
        <v>34. Feel unwell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2:18" x14ac:dyDescent="0.55000000000000004">
      <c r="B28" t="str">
        <f>IFERROR(INDEX(Across!$A:$E, MATCH(ROW()-4, Across!$A:$A, 0), MATCH("text", Across!$A$1:$E$1, 0)), "")</f>
        <v>42. Occupied, like a diner booth</v>
      </c>
      <c r="C28" t="str">
        <f>IFERROR(INDEX(Down!$A:$E, MATCH(ROW()-4, Down!$A:$A, 0), MATCH("text", Down!$A$1:$E$1, 0)), "")</f>
        <v>37. "21st Century Breakdown" band</v>
      </c>
      <c r="D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57</v>
      </c>
      <c r="E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58</v>
      </c>
      <c r="J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59</v>
      </c>
      <c r="L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60</v>
      </c>
      <c r="O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28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29" spans="2:18" x14ac:dyDescent="0.55000000000000004">
      <c r="B29" t="str">
        <f>IFERROR(INDEX(Across!$A:$E, MATCH(ROW()-4, Across!$A:$A, 0), MATCH("text", Across!$A$1:$E$1, 0)), "")</f>
        <v>43. Rod in old movies (last 3 ...)</v>
      </c>
      <c r="C29" t="str">
        <f>IFERROR(INDEX(Down!$A:$E, MATCH(ROW()-4, Down!$A:$A, 0), MATCH("text", Down!$A$1:$E$1, 0)), "")</f>
        <v>38. Site of a small canal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2:18" x14ac:dyDescent="0.55000000000000004">
      <c r="B30" t="str">
        <f>IFERROR(INDEX(Across!$A:$E, MATCH(ROW()-4, Across!$A:$A, 0), MATCH("text", Across!$A$1:$E$1, 0)), "")</f>
        <v>45. "___: Long Walk to Freedom" (... + first 3)</v>
      </c>
      <c r="C30" t="str">
        <f>IFERROR(INDEX(Down!$A:$E, MATCH(ROW()-4, Down!$A:$A, 0), MATCH("text", Down!$A$1:$E$1, 0)), "")</f>
        <v>39. Babyproofed, say</v>
      </c>
      <c r="D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61</v>
      </c>
      <c r="E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62</v>
      </c>
      <c r="J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63</v>
      </c>
      <c r="O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30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31" spans="2:18" x14ac:dyDescent="0.55000000000000004">
      <c r="B31" t="str">
        <f>IFERROR(INDEX(Across!$A:$E, MATCH(ROW()-4, Across!$A:$A, 0), MATCH("text", Across!$A$1:$E$1, 0)), "")</f>
        <v>47. Browns' city: Abbr.</v>
      </c>
      <c r="C31" t="str">
        <f>IFERROR(INDEX(Down!$A:$E, MATCH(ROW()-4, Down!$A:$A, 0), MATCH("text", Down!$A$1:$E$1, 0)), "")</f>
        <v>41. Wrinkly fruit</v>
      </c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2:18" x14ac:dyDescent="0.55000000000000004">
      <c r="B32" t="str">
        <f>IFERROR(INDEX(Across!$A:$E, MATCH(ROW()-4, Across!$A:$A, 0), MATCH("text", Across!$A$1:$E$1, 0)), "")</f>
        <v>48. Cold drink brand</v>
      </c>
      <c r="C32" t="str">
        <f>IFERROR(INDEX(Down!$A:$E, MATCH(ROW()-4, Down!$A:$A, 0), MATCH("text", Down!$A$1:$E$1, 0)), "")</f>
        <v>42. Crept</v>
      </c>
      <c r="D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64</v>
      </c>
      <c r="E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F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G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H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I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65</v>
      </c>
      <c r="J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K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L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M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N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>66</v>
      </c>
      <c r="O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P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Q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  <c r="R32" s="3" t="str">
        <f>IF(INDEX(Raw!$A$1:$P$16, MATCH(_xlfn.FLOOR.MATH(ROW()/2)-1, Raw!$A$1:$A$16, 0), MATCH("V"&amp;(COLUMN()-3), Raw!$A$1:$P$1, 0))="X", "", INDEX(Raw!$A$1:$P$16, MATCH(_xlfn.FLOOR.MATH(ROW()/2)-1, Raw!$A$1:$A$16, 0), MATCH("V"&amp;(COLUMN()-3), Raw!$A$1:$P$1, 0)))</f>
        <v/>
      </c>
    </row>
    <row r="33" spans="2:18" x14ac:dyDescent="0.55000000000000004">
      <c r="B33" t="str">
        <f>IFERROR(INDEX(Across!$A:$E, MATCH(ROW()-4, Across!$A:$A, 0), MATCH("text", Across!$A$1:$E$1, 0)), "")</f>
        <v>49. Word after "time" or "slot" (last 5 ...)</v>
      </c>
      <c r="C33" t="str">
        <f>IFERROR(INDEX(Down!$A:$E, MATCH(ROW()-4, Down!$A:$A, 0), MATCH("text", Down!$A$1:$E$1, 0)), "")</f>
        <v>44. Suzuki of baseball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</row>
    <row r="34" spans="2:18" x14ac:dyDescent="0.55000000000000004">
      <c r="B34" t="str">
        <f>IFERROR(INDEX(Across!$A:$E, MATCH(ROW()-4, Across!$A:$A, 0), MATCH("text", Across!$A$1:$E$1, 0)), "")</f>
        <v>53. Popular chip flavoring (... + first 2)</v>
      </c>
      <c r="C34" t="str">
        <f>IFERROR(INDEX(Down!$A:$E, MATCH(ROW()-4, Down!$A:$A, 0), MATCH("text", Down!$A$1:$E$1, 0)), "")</f>
        <v>45. Title abbreviated to its first and last letters</v>
      </c>
    </row>
    <row r="35" spans="2:18" x14ac:dyDescent="0.55000000000000004">
      <c r="B35" t="str">
        <f>IFERROR(INDEX(Across!$A:$E, MATCH(ROW()-4, Across!$A:$A, 0), MATCH("text", Across!$A$1:$E$1, 0)), "")</f>
        <v>57. Response to a startling greeting</v>
      </c>
      <c r="C35" t="str">
        <f>IFERROR(INDEX(Down!$A:$E, MATCH(ROW()-4, Down!$A:$A, 0), MATCH("text", Down!$A$1:$E$1, 0)), "")</f>
        <v>46. Point of no return?</v>
      </c>
    </row>
    <row r="36" spans="2:18" x14ac:dyDescent="0.55000000000000004">
      <c r="B36" t="str">
        <f>IFERROR(INDEX(Across!$A:$E, MATCH(ROW()-4, Across!$A:$A, 0), MATCH("text", Across!$A$1:$E$1, 0)), "")</f>
        <v>58. Mild expletive</v>
      </c>
      <c r="C36" t="str">
        <f>IFERROR(INDEX(Down!$A:$E, MATCH(ROW()-4, Down!$A:$A, 0), MATCH("text", Down!$A$1:$E$1, 0)), "")</f>
        <v>49. Nearly all</v>
      </c>
    </row>
    <row r="37" spans="2:18" x14ac:dyDescent="0.55000000000000004">
      <c r="B37" t="str">
        <f>IFERROR(INDEX(Across!$A:$E, MATCH(ROW()-4, Across!$A:$A, 0), MATCH("text", Across!$A$1:$E$1, 0)), "")</f>
        <v>60. Journalist Couric</v>
      </c>
      <c r="C37" t="str">
        <f>IFERROR(INDEX(Down!$A:$E, MATCH(ROW()-4, Down!$A:$A, 0), MATCH("text", Down!$A$1:$E$1, 0)), "")</f>
        <v>50. Nautical greeting</v>
      </c>
    </row>
    <row r="38" spans="2:18" x14ac:dyDescent="0.55000000000000004">
      <c r="B38" t="str">
        <f>IFERROR(INDEX(Across!$A:$E, MATCH(ROW()-4, Across!$A:$A, 0), MATCH("text", Across!$A$1:$E$1, 0)), "")</f>
        <v>61. Fly like an eagle</v>
      </c>
      <c r="C38" t="str">
        <f>IFERROR(INDEX(Down!$A:$E, MATCH(ROW()-4, Down!$A:$A, 0), MATCH("text", Down!$A$1:$E$1, 0)), "")</f>
        <v>51. British fellow</v>
      </c>
    </row>
    <row r="39" spans="2:18" x14ac:dyDescent="0.55000000000000004">
      <c r="B39" t="str">
        <f>IFERROR(INDEX(Across!$A:$E, MATCH(ROW()-4, Across!$A:$A, 0), MATCH("text", Across!$A$1:$E$1, 0)), "")</f>
        <v>62. Capitol Hill staffer</v>
      </c>
      <c r="C39" t="str">
        <f>IFERROR(INDEX(Down!$A:$E, MATCH(ROW()-4, Down!$A:$A, 0), MATCH("text", Down!$A$1:$E$1, 0)), "")</f>
        <v>52. A Great Lake</v>
      </c>
    </row>
    <row r="40" spans="2:18" x14ac:dyDescent="0.55000000000000004">
      <c r="B40" t="str">
        <f>IFERROR(INDEX(Across!$A:$E, MATCH(ROW()-4, Across!$A:$A, 0), MATCH("text", Across!$A$1:$E$1, 0)), "")</f>
        <v>63. Actor Zac</v>
      </c>
      <c r="C40" t="str">
        <f>IFERROR(INDEX(Down!$A:$E, MATCH(ROW()-4, Down!$A:$A, 0), MATCH("text", Down!$A$1:$E$1, 0)), "")</f>
        <v>54. Gillette razor</v>
      </c>
    </row>
    <row r="41" spans="2:18" x14ac:dyDescent="0.55000000000000004">
      <c r="B41" t="str">
        <f>IFERROR(INDEX(Across!$A:$E, MATCH(ROW()-4, Across!$A:$A, 0), MATCH("text", Across!$A$1:$E$1, 0)), "")</f>
        <v>64. "So far, so goof" has one</v>
      </c>
      <c r="C41" t="str">
        <f>IFERROR(INDEX(Down!$A:$E, MATCH(ROW()-4, Down!$A:$A, 0), MATCH("text", Down!$A$1:$E$1, 0)), "")</f>
        <v>55. Animal in a pride</v>
      </c>
    </row>
    <row r="42" spans="2:18" x14ac:dyDescent="0.55000000000000004">
      <c r="B42" t="str">
        <f>IFERROR(INDEX(Across!$A:$E, MATCH(ROW()-4, Across!$A:$A, 0), MATCH("text", Across!$A$1:$E$1, 0)), "")</f>
        <v>65. Common subscription length</v>
      </c>
      <c r="C42" t="str">
        <f>IFERROR(INDEX(Down!$A:$E, MATCH(ROW()-4, Down!$A:$A, 0), MATCH("text", Down!$A$1:$E$1, 0)), "")</f>
        <v>56. Perfect scores for divers</v>
      </c>
    </row>
    <row r="43" spans="2:18" x14ac:dyDescent="0.55000000000000004">
      <c r="B43" t="str">
        <f>IFERROR(INDEX(Across!$A:$E, MATCH(ROW()-4, Across!$A:$A, 0), MATCH("text", Across!$A$1:$E$1, 0)), "")</f>
        <v>66. Campus bigwigs</v>
      </c>
      <c r="C43" t="str">
        <f>IFERROR(INDEX(Down!$A:$E, MATCH(ROW()-4, Down!$A:$A, 0), MATCH("text", Down!$A$1:$E$1, 0)), "")</f>
        <v>59. Toothpaste tube letters</v>
      </c>
    </row>
    <row r="44" spans="2:18" x14ac:dyDescent="0.55000000000000004">
      <c r="B44" t="str">
        <f>IFERROR(INDEX(Across!$A:$E, MATCH(ROW()-4, Across!$A:$A, 0), MATCH("text", Across!$A$1:$E$1, 0)), "")</f>
        <v/>
      </c>
      <c r="C44" t="str">
        <f>IFERROR(INDEX(Down!$A:$E, MATCH(ROW()-4, Down!$A:$A, 0), MATCH("text", Down!$A$1:$E$1, 0)), "")</f>
        <v/>
      </c>
    </row>
    <row r="45" spans="2:18" x14ac:dyDescent="0.55000000000000004">
      <c r="B45" t="str">
        <f>IFERROR(INDEX(Across!$A:$E, MATCH(ROW()-4, Across!$A:$A, 0), MATCH("text", Across!$A$1:$E$1, 0)), "")</f>
        <v/>
      </c>
      <c r="C45" t="str">
        <f>IFERROR(INDEX(Down!$A:$E, MATCH(ROW()-4, Down!$A:$A, 0), MATCH("text", Down!$A$1:$E$1, 0)), "")</f>
        <v/>
      </c>
    </row>
    <row r="46" spans="2:18" x14ac:dyDescent="0.55000000000000004">
      <c r="B46" t="str">
        <f>IFERROR(INDEX(Across!$A:$E, MATCH(ROW()-4, Across!$A:$A, 0), MATCH("text", Across!$A$1:$E$1, 0)), "")</f>
        <v/>
      </c>
      <c r="C46" t="str">
        <f>IFERROR(INDEX(Down!$A:$E, MATCH(ROW()-4, Down!$A:$A, 0), MATCH("text", Down!$A$1:$E$1, 0)), "")</f>
        <v/>
      </c>
    </row>
    <row r="47" spans="2:18" x14ac:dyDescent="0.55000000000000004">
      <c r="B47" t="str">
        <f>IFERROR(INDEX(Across!$A:$E, MATCH(ROW()-4, Across!$A:$A, 0), MATCH("text", Across!$A$1:$E$1, 0)), "")</f>
        <v/>
      </c>
      <c r="C47" t="str">
        <f>IFERROR(INDEX(Down!$A:$E, MATCH(ROW()-4, Down!$A:$A, 0), MATCH("text", Down!$A$1:$E$1, 0)), "")</f>
        <v/>
      </c>
    </row>
    <row r="48" spans="2:18" x14ac:dyDescent="0.55000000000000004">
      <c r="B48" t="str">
        <f>IFERROR(INDEX(Across!$A:$E, MATCH(ROW()-4, Across!$A:$A, 0), MATCH("text", Across!$A$1:$E$1, 0)), "")</f>
        <v/>
      </c>
      <c r="C48" t="str">
        <f>IFERROR(INDEX(Down!$A:$E, MATCH(ROW()-4, Down!$A:$A, 0), MATCH("text", Down!$A$1:$E$1, 0)), "")</f>
        <v/>
      </c>
    </row>
    <row r="49" spans="2:3" x14ac:dyDescent="0.55000000000000004">
      <c r="B49" t="str">
        <f>IFERROR(INDEX(Across!$A:$E, MATCH(ROW()-4, Across!$A:$A, 0), MATCH("text", Across!$A$1:$E$1, 0)), "")</f>
        <v/>
      </c>
      <c r="C49" t="str">
        <f>IFERROR(INDEX(Down!$A:$E, MATCH(ROW()-4, Down!$A:$A, 0), MATCH("text", Down!$A$1:$E$1, 0)), "")</f>
        <v/>
      </c>
    </row>
    <row r="50" spans="2:3" x14ac:dyDescent="0.55000000000000004">
      <c r="B50" t="str">
        <f>IFERROR(INDEX(Across!$A:$E, MATCH(ROW()-4, Across!$A:$A, 0), MATCH("text", Across!$A$1:$E$1, 0)), "")</f>
        <v/>
      </c>
      <c r="C50" t="str">
        <f>IFERROR(INDEX(Down!$A:$E, MATCH(ROW()-4, Down!$A:$A, 0), MATCH("text", Down!$A$1:$E$1, 0)), "")</f>
        <v/>
      </c>
    </row>
    <row r="51" spans="2:3" x14ac:dyDescent="0.55000000000000004">
      <c r="B51" t="str">
        <f>IFERROR(INDEX(Across!$A:$E, MATCH(ROW()-4, Across!$A:$A, 0), MATCH("text", Across!$A$1:$E$1, 0)), "")</f>
        <v/>
      </c>
      <c r="C51" t="str">
        <f>IFERROR(INDEX(Down!$A:$E, MATCH(ROW()-4, Down!$A:$A, 0), MATCH("text", Down!$A$1:$E$1, 0)), "")</f>
        <v/>
      </c>
    </row>
    <row r="52" spans="2:3" x14ac:dyDescent="0.55000000000000004">
      <c r="B52" t="str">
        <f>IFERROR(INDEX(Across!$A:$E, MATCH(ROW()-4, Across!$A:$A, 0), MATCH("text", Across!$A$1:$E$1, 0)), "")</f>
        <v/>
      </c>
      <c r="C52" t="str">
        <f>IFERROR(INDEX(Down!$A:$E, MATCH(ROW()-4, Down!$A:$A, 0), MATCH("text", Down!$A$1:$E$1, 0)), "")</f>
        <v/>
      </c>
    </row>
    <row r="53" spans="2:3" x14ac:dyDescent="0.55000000000000004">
      <c r="B53" t="str">
        <f>IFERROR(INDEX(Across!$A:$E, MATCH(ROW()-4, Across!$A:$A, 0), MATCH("text", Across!$A$1:$E$1, 0)), "")</f>
        <v/>
      </c>
      <c r="C53" t="str">
        <f>IFERROR(INDEX(Down!$A:$E, MATCH(ROW()-4, Down!$A:$A, 0), MATCH("text", Down!$A$1:$E$1, 0)), "")</f>
        <v/>
      </c>
    </row>
    <row r="54" spans="2:3" x14ac:dyDescent="0.55000000000000004">
      <c r="B54" t="str">
        <f>IFERROR(INDEX(Across!$A:$E, MATCH(ROW()-4, Across!$A:$A, 0), MATCH("text", Across!$A$1:$E$1, 0)), "")</f>
        <v/>
      </c>
      <c r="C54" t="str">
        <f>IFERROR(INDEX(Down!$A:$E, MATCH(ROW()-4, Down!$A:$A, 0), MATCH("text", Down!$A$1:$E$1, 0)), "")</f>
        <v/>
      </c>
    </row>
    <row r="55" spans="2:3" x14ac:dyDescent="0.55000000000000004">
      <c r="B55" t="str">
        <f>IFERROR(INDEX(Across!$A:$E, MATCH(ROW()-4, Across!$A:$A, 0), MATCH("text", Across!$A$1:$E$1, 0)), "")</f>
        <v/>
      </c>
      <c r="C55" t="str">
        <f>IFERROR(INDEX(Down!$A:$E, MATCH(ROW()-4, Down!$A:$A, 0), MATCH("text", Down!$A$1:$E$1, 0)), "")</f>
        <v/>
      </c>
    </row>
    <row r="56" spans="2:3" x14ac:dyDescent="0.55000000000000004">
      <c r="B56" t="str">
        <f>IFERROR(INDEX(Across!$A:$E, MATCH(ROW()-4, Across!$A:$A, 0), MATCH("text", Across!$A$1:$E$1, 0)), "")</f>
        <v/>
      </c>
      <c r="C56" t="str">
        <f>IFERROR(INDEX(Down!$A:$E, MATCH(ROW()-4, Down!$A:$A, 0), MATCH("text", Down!$A$1:$E$1, 0)), "")</f>
        <v/>
      </c>
    </row>
    <row r="57" spans="2:3" x14ac:dyDescent="0.55000000000000004">
      <c r="B57" t="str">
        <f>IFERROR(INDEX(Across!$A:$E, MATCH(ROW()-4, Across!$A:$A, 0), MATCH("text", Across!$A$1:$E$1, 0)), "")</f>
        <v/>
      </c>
      <c r="C57" t="str">
        <f>IFERROR(INDEX(Down!$A:$E, MATCH(ROW()-4, Down!$A:$A, 0), MATCH("text", Down!$A$1:$E$1, 0)), "")</f>
        <v/>
      </c>
    </row>
    <row r="58" spans="2:3" x14ac:dyDescent="0.55000000000000004">
      <c r="B58" t="str">
        <f>IFERROR(INDEX(Across!$A:$E, MATCH(ROW()-4, Across!$A:$A, 0), MATCH("text", Across!$A$1:$E$1, 0)), "")</f>
        <v/>
      </c>
      <c r="C58" t="str">
        <f>IFERROR(INDEX(Down!$A:$E, MATCH(ROW()-4, Down!$A:$A, 0), MATCH("text", Down!$A$1:$E$1, 0)), "")</f>
        <v/>
      </c>
    </row>
    <row r="59" spans="2:3" x14ac:dyDescent="0.55000000000000004">
      <c r="B59" t="str">
        <f>IFERROR(INDEX(Across!$A:$E, MATCH(ROW()-4, Across!$A:$A, 0), MATCH("text", Across!$A$1:$E$1, 0)), "")</f>
        <v/>
      </c>
      <c r="C59" t="str">
        <f>IFERROR(INDEX(Down!$A:$E, MATCH(ROW()-4, Down!$A:$A, 0), MATCH("text", Down!$A$1:$E$1, 0)), "")</f>
        <v/>
      </c>
    </row>
    <row r="60" spans="2:3" x14ac:dyDescent="0.55000000000000004">
      <c r="B60" t="str">
        <f>IFERROR(INDEX(Across!$A:$E, MATCH(ROW()-4, Across!$A:$A, 0), MATCH("text", Across!$A$1:$E$1, 0)), "")</f>
        <v/>
      </c>
      <c r="C60" t="str">
        <f>IFERROR(INDEX(Down!$A:$E, MATCH(ROW()-4, Down!$A:$A, 0), MATCH("text", Down!$A$1:$E$1, 0)), "")</f>
        <v/>
      </c>
    </row>
    <row r="61" spans="2:3" x14ac:dyDescent="0.55000000000000004">
      <c r="B61" t="str">
        <f>IFERROR(INDEX(Across!$A:$E, MATCH(ROW()-4, Across!$A:$A, 0), MATCH("text", Across!$A$1:$E$1, 0)), "")</f>
        <v/>
      </c>
      <c r="C61" t="str">
        <f>IFERROR(INDEX(Down!$A:$E, MATCH(ROW()-4, Down!$A:$A, 0), MATCH("text", Down!$A$1:$E$1, 0)), "")</f>
        <v/>
      </c>
    </row>
    <row r="62" spans="2:3" x14ac:dyDescent="0.55000000000000004">
      <c r="B62" t="str">
        <f>IFERROR(INDEX(Across!$A:$E, MATCH(ROW()-4, Across!$A:$A, 0), MATCH("text", Across!$A$1:$E$1, 0)), "")</f>
        <v/>
      </c>
      <c r="C62" t="str">
        <f>IFERROR(INDEX(Down!$A:$E, MATCH(ROW()-4, Down!$A:$A, 0), MATCH("text", Down!$A$1:$E$1, 0)), "")</f>
        <v/>
      </c>
    </row>
    <row r="63" spans="2:3" x14ac:dyDescent="0.55000000000000004">
      <c r="B63" t="str">
        <f>IFERROR(INDEX(Across!$A:$E, MATCH(ROW()-4, Across!$A:$A, 0), MATCH("text", Across!$A$1:$E$1, 0)), "")</f>
        <v/>
      </c>
      <c r="C63" t="str">
        <f>IFERROR(INDEX(Down!$A:$E, MATCH(ROW()-4, Down!$A:$A, 0), MATCH("text", Down!$A$1:$E$1, 0)), "")</f>
        <v/>
      </c>
    </row>
    <row r="64" spans="2:3" x14ac:dyDescent="0.55000000000000004">
      <c r="B64" t="str">
        <f>IFERROR(INDEX(Across!$A:$E, MATCH(ROW()-4, Across!$A:$A, 0), MATCH("text", Across!$A$1:$E$1, 0)), "")</f>
        <v/>
      </c>
      <c r="C64" t="str">
        <f>IFERROR(INDEX(Down!$A:$E, MATCH(ROW()-4, Down!$A:$A, 0), MATCH("text", Down!$A$1:$E$1, 0)), "")</f>
        <v/>
      </c>
    </row>
    <row r="65" spans="2:3" x14ac:dyDescent="0.55000000000000004">
      <c r="B65" t="str">
        <f>IFERROR(INDEX(Across!$A:$E, MATCH(ROW()-4, Across!$A:$A, 0), MATCH("text", Across!$A$1:$E$1, 0)), "")</f>
        <v/>
      </c>
      <c r="C65" t="str">
        <f>IFERROR(INDEX(Down!$A:$E, MATCH(ROW()-4, Down!$A:$A, 0), MATCH("text", Down!$A$1:$E$1, 0)), "")</f>
        <v/>
      </c>
    </row>
    <row r="66" spans="2:3" x14ac:dyDescent="0.55000000000000004">
      <c r="B66" t="str">
        <f>IFERROR(INDEX(Across!$A:$E, MATCH(ROW()-4, Across!$A:$A, 0), MATCH("text", Across!$A$1:$E$1, 0)), "")</f>
        <v/>
      </c>
      <c r="C66" t="str">
        <f>IFERROR(INDEX(Down!$A:$E, MATCH(ROW()-4, Down!$A:$A, 0), MATCH("text", Down!$A$1:$E$1, 0)), "")</f>
        <v/>
      </c>
    </row>
    <row r="67" spans="2:3" x14ac:dyDescent="0.55000000000000004">
      <c r="B67" t="str">
        <f>IFERROR(INDEX(Across!$A:$E, MATCH(ROW()-4, Across!$A:$A, 0), MATCH("text", Across!$A$1:$E$1, 0)), "")</f>
        <v/>
      </c>
      <c r="C67" t="str">
        <f>IFERROR(INDEX(Down!$A:$E, MATCH(ROW()-4, Down!$A:$A, 0), MATCH("text", Down!$A$1:$E$1, 0)), "")</f>
        <v/>
      </c>
    </row>
    <row r="68" spans="2:3" x14ac:dyDescent="0.55000000000000004">
      <c r="B68" t="str">
        <f>IFERROR(INDEX(Across!$A:$E, MATCH(ROW()-4, Across!$A:$A, 0), MATCH("text", Across!$A$1:$E$1, 0)), "")</f>
        <v/>
      </c>
      <c r="C68" t="str">
        <f>IFERROR(INDEX(Down!$A:$E, MATCH(ROW()-4, Down!$A:$A, 0), MATCH("text", Down!$A$1:$E$1, 0)), "")</f>
        <v/>
      </c>
    </row>
  </sheetData>
  <pageMargins left="0.2" right="0.2" top="0.25" bottom="0.25" header="0.3" footer="0.3"/>
  <pageSetup scale="8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1D57A8C-BAE9-49EF-82E3-ABDAFEE67B92}">
            <xm:f>INDEX(Raw!$A$1:$P$16, MATCH(_xlfn.FLOOR.MATH(ROW()/2)-1, Raw!$A$1:$A$16, 0), MATCH("V"&amp;(COLUMN()-3), Raw!$A$1:$P$1, 0))="X"</xm:f>
            <x14:dxf>
              <fill>
                <patternFill>
                  <bgColor theme="1"/>
                </patternFill>
              </fill>
            </x14:dxf>
          </x14:cfRule>
          <xm:sqref>D4:R33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0.79998168889431442"/>
    <pageSetUpPr fitToPage="1"/>
  </sheetPr>
  <dimension ref="D2:R16"/>
  <sheetViews>
    <sheetView showGridLines="0" zoomScale="90" zoomScaleNormal="90" workbookViewId="0"/>
  </sheetViews>
  <sheetFormatPr defaultRowHeight="14.4" x14ac:dyDescent="0.55000000000000004"/>
  <cols>
    <col min="1" max="2" width="5.05078125" customWidth="1"/>
    <col min="3" max="3" width="3.62890625" customWidth="1"/>
    <col min="4" max="18" width="5.05078125" customWidth="1"/>
    <col min="19" max="19" width="3.62890625" customWidth="1"/>
  </cols>
  <sheetData>
    <row r="2" spans="4:18" ht="28.8" customHeight="1" x14ac:dyDescent="0.55000000000000004">
      <c r="D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E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F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U</v>
      </c>
      <c r="G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H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I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J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K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L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M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N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O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P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Q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R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</row>
    <row r="3" spans="4:18" ht="28.8" customHeight="1" x14ac:dyDescent="0.55000000000000004">
      <c r="D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E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F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B</v>
      </c>
      <c r="G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H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I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J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K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B</v>
      </c>
      <c r="L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M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N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O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P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X</v>
      </c>
      <c r="Q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R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</row>
    <row r="4" spans="4:18" ht="28.8" customHeight="1" x14ac:dyDescent="0.55000000000000004">
      <c r="D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E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F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G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H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I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J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K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L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M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N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O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P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Q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R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</row>
    <row r="5" spans="4:18" ht="28.8" customHeight="1" x14ac:dyDescent="0.55000000000000004">
      <c r="D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E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F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G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H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I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J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K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M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N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O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H</v>
      </c>
      <c r="P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Q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R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</row>
    <row r="6" spans="4:18" ht="28.8" customHeight="1" x14ac:dyDescent="0.55000000000000004">
      <c r="D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E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F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G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H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I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J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K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M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N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O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P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Q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R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</row>
    <row r="7" spans="4:18" ht="28.8" customHeight="1" x14ac:dyDescent="0.55000000000000004">
      <c r="D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E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F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G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G</v>
      </c>
      <c r="H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I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J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K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B</v>
      </c>
      <c r="M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N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O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Y</v>
      </c>
      <c r="P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Q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R7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</row>
    <row r="8" spans="4:18" ht="28.8" customHeight="1" x14ac:dyDescent="0.55000000000000004">
      <c r="D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E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F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G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U</v>
      </c>
      <c r="H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I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J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K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L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M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N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O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P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Q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R8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V</v>
      </c>
    </row>
    <row r="9" spans="4:18" ht="28.8" customHeight="1" x14ac:dyDescent="0.55000000000000004">
      <c r="D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E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F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G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H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I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G</v>
      </c>
      <c r="J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K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L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M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N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O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P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Q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G</v>
      </c>
      <c r="R9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</row>
    <row r="10" spans="4:18" ht="28.8" customHeight="1" x14ac:dyDescent="0.55000000000000004">
      <c r="D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E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F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G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H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U</v>
      </c>
      <c r="I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J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K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L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M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N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O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P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Q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R10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</row>
    <row r="11" spans="4:18" ht="28.8" customHeight="1" x14ac:dyDescent="0.55000000000000004">
      <c r="D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E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F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G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H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G</v>
      </c>
      <c r="I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J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K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M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N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O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D</v>
      </c>
      <c r="P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Q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R11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</row>
    <row r="12" spans="4:18" ht="28.8" customHeight="1" x14ac:dyDescent="0.55000000000000004">
      <c r="D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E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F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G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H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I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J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K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M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N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O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P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Q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R12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</row>
    <row r="13" spans="4:18" ht="28.8" customHeight="1" x14ac:dyDescent="0.55000000000000004">
      <c r="D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M</v>
      </c>
      <c r="E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F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C</v>
      </c>
      <c r="G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H</v>
      </c>
      <c r="H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I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J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K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L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M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N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O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P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Q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L</v>
      </c>
      <c r="R13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</row>
    <row r="14" spans="4:18" ht="28.8" customHeight="1" x14ac:dyDescent="0.55000000000000004">
      <c r="D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E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H</v>
      </c>
      <c r="F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H</v>
      </c>
      <c r="G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H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I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D</v>
      </c>
      <c r="J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K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L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M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N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K</v>
      </c>
      <c r="O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P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Q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R14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</row>
    <row r="15" spans="4:18" ht="28.8" customHeight="1" x14ac:dyDescent="0.55000000000000004">
      <c r="D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  <c r="E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F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G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H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I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J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I</v>
      </c>
      <c r="K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D</v>
      </c>
      <c r="L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M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N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O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F</v>
      </c>
      <c r="P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Q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R15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</row>
    <row r="16" spans="4:18" ht="28.8" customHeight="1" x14ac:dyDescent="0.55000000000000004">
      <c r="D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T</v>
      </c>
      <c r="E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Y</v>
      </c>
      <c r="F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P</v>
      </c>
      <c r="G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O</v>
      </c>
      <c r="H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I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Y</v>
      </c>
      <c r="J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K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L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R</v>
      </c>
      <c r="M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/>
      </c>
      <c r="N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D</v>
      </c>
      <c r="O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E</v>
      </c>
      <c r="P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A</v>
      </c>
      <c r="Q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N</v>
      </c>
      <c r="R16" s="5" t="str">
        <f>IF(INDEX(Solution_Raw!$A$1:$P$16, MATCH(ROW()-1, Solution_Raw!$A$1:$A$16, 0), MATCH("V"&amp;(COLUMN()-3), Solution_Raw!$A$1:$P$1, 0))="", "", INDEX(Solution_Raw!$A$1:$P$16, MATCH(ROW()-1, Solution_Raw!$A$1:$A$16, 0), MATCH("V"&amp;(COLUMN()-3), Solution_Raw!$A$1:$P$1, 0)))</f>
        <v>S</v>
      </c>
    </row>
  </sheetData>
  <printOptions horizontalCentered="1"/>
  <pageMargins left="0.2" right="0.2" top="0.25" bottom="0.2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A4E92AC-EE8E-4CE2-8D70-68F670E7FA59}">
            <xm:f>INDEX(Solution_Raw!$A$1:$P$16, MATCH(ROW()-1, Solution_Raw!$A$1:$A$16, 0), MATCH("V"&amp;(COLUMN()-3), Solution_Raw!$A$1:$P$1, 0))=""</xm:f>
            <x14:dxf>
              <fill>
                <patternFill>
                  <bgColor theme="1"/>
                </patternFill>
              </fill>
            </x14:dxf>
          </x14:cfRule>
          <xm:sqref>D2:R16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P16"/>
  <sheetViews>
    <sheetView workbookViewId="0"/>
  </sheetViews>
  <sheetFormatPr defaultRowHeight="14.4" x14ac:dyDescent="0.55000000000000004"/>
  <sheetData>
    <row r="1" spans="1:16" x14ac:dyDescent="0.55000000000000004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</row>
    <row r="2" spans="1:16" x14ac:dyDescent="0.55000000000000004">
      <c r="A2">
        <v>1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23</v>
      </c>
      <c r="M2" t="s">
        <v>28</v>
      </c>
      <c r="N2" t="s">
        <v>29</v>
      </c>
      <c r="O2" t="s">
        <v>30</v>
      </c>
      <c r="P2" t="s">
        <v>31</v>
      </c>
    </row>
    <row r="3" spans="1:16" x14ac:dyDescent="0.55000000000000004">
      <c r="A3">
        <v>2</v>
      </c>
      <c r="B3" t="s">
        <v>32</v>
      </c>
      <c r="C3" t="s">
        <v>33</v>
      </c>
      <c r="D3" t="s">
        <v>33</v>
      </c>
      <c r="E3" t="s">
        <v>33</v>
      </c>
      <c r="F3" t="s">
        <v>33</v>
      </c>
      <c r="G3" t="s">
        <v>23</v>
      </c>
      <c r="H3" t="s">
        <v>34</v>
      </c>
      <c r="I3" t="s">
        <v>33</v>
      </c>
      <c r="J3" t="s">
        <v>33</v>
      </c>
      <c r="K3" t="s">
        <v>33</v>
      </c>
      <c r="L3" t="s">
        <v>23</v>
      </c>
      <c r="M3" t="s">
        <v>35</v>
      </c>
      <c r="N3" t="s">
        <v>33</v>
      </c>
      <c r="O3" t="s">
        <v>33</v>
      </c>
      <c r="P3" t="s">
        <v>33</v>
      </c>
    </row>
    <row r="4" spans="1:16" x14ac:dyDescent="0.55000000000000004">
      <c r="A4">
        <v>3</v>
      </c>
      <c r="B4" t="s">
        <v>36</v>
      </c>
      <c r="C4" t="s">
        <v>33</v>
      </c>
      <c r="D4" t="s">
        <v>33</v>
      </c>
      <c r="E4" t="s">
        <v>33</v>
      </c>
      <c r="F4" t="s">
        <v>33</v>
      </c>
      <c r="G4" t="s">
        <v>23</v>
      </c>
      <c r="H4" t="s">
        <v>37</v>
      </c>
      <c r="I4" t="s">
        <v>33</v>
      </c>
      <c r="J4" t="s">
        <v>33</v>
      </c>
      <c r="K4" t="s">
        <v>33</v>
      </c>
      <c r="L4" t="s">
        <v>23</v>
      </c>
      <c r="M4" t="s">
        <v>38</v>
      </c>
      <c r="N4" t="s">
        <v>33</v>
      </c>
      <c r="O4" t="s">
        <v>33</v>
      </c>
      <c r="P4" t="s">
        <v>33</v>
      </c>
    </row>
    <row r="5" spans="1:16" x14ac:dyDescent="0.55000000000000004">
      <c r="A5">
        <v>4</v>
      </c>
      <c r="B5" t="s">
        <v>39</v>
      </c>
      <c r="C5" t="s">
        <v>33</v>
      </c>
      <c r="D5" t="s">
        <v>33</v>
      </c>
      <c r="E5" t="s">
        <v>33</v>
      </c>
      <c r="F5" t="s">
        <v>33</v>
      </c>
      <c r="G5" t="s">
        <v>40</v>
      </c>
      <c r="H5" t="s">
        <v>33</v>
      </c>
      <c r="I5" t="s">
        <v>23</v>
      </c>
      <c r="J5" t="s">
        <v>41</v>
      </c>
      <c r="K5" t="s">
        <v>33</v>
      </c>
      <c r="L5" t="s">
        <v>42</v>
      </c>
      <c r="M5" t="s">
        <v>33</v>
      </c>
      <c r="N5" t="s">
        <v>33</v>
      </c>
      <c r="O5" t="s">
        <v>33</v>
      </c>
      <c r="P5" t="s">
        <v>33</v>
      </c>
    </row>
    <row r="6" spans="1:16" x14ac:dyDescent="0.55000000000000004">
      <c r="A6">
        <v>5</v>
      </c>
      <c r="B6" t="s">
        <v>23</v>
      </c>
      <c r="C6" t="s">
        <v>23</v>
      </c>
      <c r="D6" t="s">
        <v>23</v>
      </c>
      <c r="E6" t="s">
        <v>43</v>
      </c>
      <c r="F6" t="s">
        <v>33</v>
      </c>
      <c r="G6" t="s">
        <v>33</v>
      </c>
      <c r="H6" t="s">
        <v>33</v>
      </c>
      <c r="I6" t="s">
        <v>23</v>
      </c>
      <c r="J6" t="s">
        <v>23</v>
      </c>
      <c r="K6" t="s">
        <v>44</v>
      </c>
      <c r="L6" t="s">
        <v>33</v>
      </c>
      <c r="M6" t="s">
        <v>33</v>
      </c>
      <c r="N6" t="s">
        <v>23</v>
      </c>
      <c r="O6" t="s">
        <v>23</v>
      </c>
      <c r="P6" t="s">
        <v>23</v>
      </c>
    </row>
    <row r="7" spans="1:16" x14ac:dyDescent="0.55000000000000004">
      <c r="A7">
        <v>6</v>
      </c>
      <c r="B7" t="s">
        <v>45</v>
      </c>
      <c r="C7" t="s">
        <v>46</v>
      </c>
      <c r="D7" t="s">
        <v>47</v>
      </c>
      <c r="E7" t="s">
        <v>33</v>
      </c>
      <c r="F7" t="s">
        <v>33</v>
      </c>
      <c r="G7" t="s">
        <v>33</v>
      </c>
      <c r="H7" t="s">
        <v>33</v>
      </c>
      <c r="I7" t="s">
        <v>23</v>
      </c>
      <c r="J7" t="s">
        <v>48</v>
      </c>
      <c r="K7" t="s">
        <v>33</v>
      </c>
      <c r="L7" t="s">
        <v>33</v>
      </c>
      <c r="M7" t="s">
        <v>33</v>
      </c>
      <c r="N7" t="s">
        <v>49</v>
      </c>
      <c r="O7" t="s">
        <v>50</v>
      </c>
      <c r="P7" t="s">
        <v>51</v>
      </c>
    </row>
    <row r="8" spans="1:16" x14ac:dyDescent="0.55000000000000004">
      <c r="A8">
        <v>7</v>
      </c>
      <c r="B8" t="s">
        <v>52</v>
      </c>
      <c r="C8" t="s">
        <v>33</v>
      </c>
      <c r="D8" t="s">
        <v>33</v>
      </c>
      <c r="E8" t="s">
        <v>33</v>
      </c>
      <c r="F8" t="s">
        <v>33</v>
      </c>
      <c r="G8" t="s">
        <v>23</v>
      </c>
      <c r="H8" t="s">
        <v>23</v>
      </c>
      <c r="I8" t="s">
        <v>53</v>
      </c>
      <c r="J8" t="s">
        <v>33</v>
      </c>
      <c r="K8" t="s">
        <v>33</v>
      </c>
      <c r="L8" t="s">
        <v>33</v>
      </c>
      <c r="M8" t="s">
        <v>23</v>
      </c>
      <c r="N8" t="s">
        <v>54</v>
      </c>
      <c r="O8" t="s">
        <v>33</v>
      </c>
      <c r="P8" t="s">
        <v>33</v>
      </c>
    </row>
    <row r="9" spans="1:16" x14ac:dyDescent="0.55000000000000004">
      <c r="A9">
        <v>8</v>
      </c>
      <c r="B9" t="s">
        <v>55</v>
      </c>
      <c r="C9" t="s">
        <v>33</v>
      </c>
      <c r="D9" t="s">
        <v>33</v>
      </c>
      <c r="E9" t="s">
        <v>33</v>
      </c>
      <c r="F9" t="s">
        <v>23</v>
      </c>
      <c r="G9" t="s">
        <v>56</v>
      </c>
      <c r="H9" t="s">
        <v>57</v>
      </c>
      <c r="I9" t="s">
        <v>33</v>
      </c>
      <c r="J9" t="s">
        <v>33</v>
      </c>
      <c r="K9" t="s">
        <v>33</v>
      </c>
      <c r="L9" t="s">
        <v>23</v>
      </c>
      <c r="M9" t="s">
        <v>58</v>
      </c>
      <c r="N9" t="s">
        <v>33</v>
      </c>
      <c r="O9" t="s">
        <v>33</v>
      </c>
      <c r="P9" t="s">
        <v>33</v>
      </c>
    </row>
    <row r="10" spans="1:16" x14ac:dyDescent="0.55000000000000004">
      <c r="A10">
        <v>9</v>
      </c>
      <c r="B10" t="s">
        <v>59</v>
      </c>
      <c r="C10" t="s">
        <v>33</v>
      </c>
      <c r="D10" t="s">
        <v>33</v>
      </c>
      <c r="E10" t="s">
        <v>23</v>
      </c>
      <c r="F10" t="s">
        <v>60</v>
      </c>
      <c r="G10" t="s">
        <v>33</v>
      </c>
      <c r="H10" t="s">
        <v>33</v>
      </c>
      <c r="I10" t="s">
        <v>33</v>
      </c>
      <c r="J10" t="s">
        <v>23</v>
      </c>
      <c r="K10" t="s">
        <v>23</v>
      </c>
      <c r="L10" t="s">
        <v>61</v>
      </c>
      <c r="M10" t="s">
        <v>33</v>
      </c>
      <c r="N10" t="s">
        <v>33</v>
      </c>
      <c r="O10" t="s">
        <v>33</v>
      </c>
      <c r="P10" t="s">
        <v>33</v>
      </c>
    </row>
    <row r="11" spans="1:16" x14ac:dyDescent="0.55000000000000004">
      <c r="A11">
        <v>10</v>
      </c>
      <c r="B11" t="s">
        <v>62</v>
      </c>
      <c r="C11" t="s">
        <v>33</v>
      </c>
      <c r="D11" t="s">
        <v>33</v>
      </c>
      <c r="E11" t="s">
        <v>63</v>
      </c>
      <c r="F11" t="s">
        <v>33</v>
      </c>
      <c r="G11" t="s">
        <v>33</v>
      </c>
      <c r="H11" t="s">
        <v>33</v>
      </c>
      <c r="I11" t="s">
        <v>23</v>
      </c>
      <c r="J11" t="s">
        <v>64</v>
      </c>
      <c r="K11" t="s">
        <v>65</v>
      </c>
      <c r="L11" t="s">
        <v>33</v>
      </c>
      <c r="M11" t="s">
        <v>33</v>
      </c>
      <c r="N11" t="s">
        <v>33</v>
      </c>
      <c r="O11" t="s">
        <v>33</v>
      </c>
      <c r="P11" t="s">
        <v>33</v>
      </c>
    </row>
    <row r="12" spans="1:16" x14ac:dyDescent="0.55000000000000004">
      <c r="A12">
        <v>11</v>
      </c>
      <c r="B12" t="s">
        <v>23</v>
      </c>
      <c r="C12" t="s">
        <v>23</v>
      </c>
      <c r="D12" t="s">
        <v>23</v>
      </c>
      <c r="E12" t="s">
        <v>66</v>
      </c>
      <c r="F12" t="s">
        <v>33</v>
      </c>
      <c r="G12" t="s">
        <v>33</v>
      </c>
      <c r="H12" t="s">
        <v>23</v>
      </c>
      <c r="I12" t="s">
        <v>23</v>
      </c>
      <c r="J12" t="s">
        <v>67</v>
      </c>
      <c r="K12" t="s">
        <v>33</v>
      </c>
      <c r="L12" t="s">
        <v>33</v>
      </c>
      <c r="M12" t="s">
        <v>33</v>
      </c>
      <c r="N12" t="s">
        <v>23</v>
      </c>
      <c r="O12" t="s">
        <v>23</v>
      </c>
      <c r="P12" t="s">
        <v>23</v>
      </c>
    </row>
    <row r="13" spans="1:16" x14ac:dyDescent="0.55000000000000004">
      <c r="A13">
        <v>12</v>
      </c>
      <c r="B13" t="s">
        <v>68</v>
      </c>
      <c r="C13" t="s">
        <v>69</v>
      </c>
      <c r="D13" t="s">
        <v>70</v>
      </c>
      <c r="E13" t="s">
        <v>33</v>
      </c>
      <c r="F13" t="s">
        <v>33</v>
      </c>
      <c r="G13" t="s">
        <v>33</v>
      </c>
      <c r="H13" t="s">
        <v>71</v>
      </c>
      <c r="I13" t="s">
        <v>23</v>
      </c>
      <c r="J13" t="s">
        <v>72</v>
      </c>
      <c r="K13" t="s">
        <v>33</v>
      </c>
      <c r="L13" t="s">
        <v>33</v>
      </c>
      <c r="M13" t="s">
        <v>33</v>
      </c>
      <c r="N13" t="s">
        <v>73</v>
      </c>
      <c r="O13" t="s">
        <v>74</v>
      </c>
      <c r="P13" t="s">
        <v>75</v>
      </c>
    </row>
    <row r="14" spans="1:16" x14ac:dyDescent="0.55000000000000004">
      <c r="A14">
        <v>13</v>
      </c>
      <c r="B14" t="s">
        <v>76</v>
      </c>
      <c r="C14" t="s">
        <v>33</v>
      </c>
      <c r="D14" t="s">
        <v>33</v>
      </c>
      <c r="E14" t="s">
        <v>33</v>
      </c>
      <c r="F14" t="s">
        <v>23</v>
      </c>
      <c r="G14" t="s">
        <v>77</v>
      </c>
      <c r="H14" t="s">
        <v>33</v>
      </c>
      <c r="I14" t="s">
        <v>78</v>
      </c>
      <c r="J14" t="s">
        <v>33</v>
      </c>
      <c r="K14" t="s">
        <v>23</v>
      </c>
      <c r="L14" t="s">
        <v>79</v>
      </c>
      <c r="M14" t="s">
        <v>33</v>
      </c>
      <c r="N14" t="s">
        <v>33</v>
      </c>
      <c r="O14" t="s">
        <v>33</v>
      </c>
      <c r="P14" t="s">
        <v>33</v>
      </c>
    </row>
    <row r="15" spans="1:16" x14ac:dyDescent="0.55000000000000004">
      <c r="A15">
        <v>14</v>
      </c>
      <c r="B15" t="s">
        <v>80</v>
      </c>
      <c r="C15" t="s">
        <v>33</v>
      </c>
      <c r="D15" t="s">
        <v>33</v>
      </c>
      <c r="E15" t="s">
        <v>33</v>
      </c>
      <c r="F15" t="s">
        <v>23</v>
      </c>
      <c r="G15" t="s">
        <v>81</v>
      </c>
      <c r="H15" t="s">
        <v>33</v>
      </c>
      <c r="I15" t="s">
        <v>33</v>
      </c>
      <c r="J15" t="s">
        <v>33</v>
      </c>
      <c r="K15" t="s">
        <v>23</v>
      </c>
      <c r="L15" t="s">
        <v>82</v>
      </c>
      <c r="M15" t="s">
        <v>33</v>
      </c>
      <c r="N15" t="s">
        <v>33</v>
      </c>
      <c r="O15" t="s">
        <v>33</v>
      </c>
      <c r="P15" t="s">
        <v>33</v>
      </c>
    </row>
    <row r="16" spans="1:16" x14ac:dyDescent="0.55000000000000004">
      <c r="A16">
        <v>15</v>
      </c>
      <c r="B16" t="s">
        <v>83</v>
      </c>
      <c r="C16" t="s">
        <v>33</v>
      </c>
      <c r="D16" t="s">
        <v>33</v>
      </c>
      <c r="E16" t="s">
        <v>33</v>
      </c>
      <c r="F16" t="s">
        <v>23</v>
      </c>
      <c r="G16" t="s">
        <v>84</v>
      </c>
      <c r="H16" t="s">
        <v>33</v>
      </c>
      <c r="I16" t="s">
        <v>33</v>
      </c>
      <c r="J16" t="s">
        <v>33</v>
      </c>
      <c r="K16" t="s">
        <v>23</v>
      </c>
      <c r="L16" t="s">
        <v>85</v>
      </c>
      <c r="M16" t="s">
        <v>33</v>
      </c>
      <c r="N16" t="s">
        <v>33</v>
      </c>
      <c r="O16" t="s">
        <v>33</v>
      </c>
      <c r="P16" t="s">
        <v>33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0"/>
  <sheetViews>
    <sheetView workbookViewId="0"/>
  </sheetViews>
  <sheetFormatPr defaultRowHeight="14.4" x14ac:dyDescent="0.55000000000000004"/>
  <sheetData>
    <row r="1" spans="1:5" x14ac:dyDescent="0.55000000000000004">
      <c r="A1" t="s">
        <v>2</v>
      </c>
      <c r="B1" t="s">
        <v>86</v>
      </c>
      <c r="C1" t="s">
        <v>87</v>
      </c>
      <c r="D1" t="s">
        <v>88</v>
      </c>
      <c r="E1" t="s">
        <v>89</v>
      </c>
    </row>
    <row r="2" spans="1:5" x14ac:dyDescent="0.55000000000000004">
      <c r="A2">
        <v>1</v>
      </c>
      <c r="B2" t="s">
        <v>90</v>
      </c>
      <c r="C2">
        <v>1</v>
      </c>
      <c r="D2" t="s">
        <v>91</v>
      </c>
      <c r="E2" t="s">
        <v>92</v>
      </c>
    </row>
    <row r="3" spans="1:5" x14ac:dyDescent="0.55000000000000004">
      <c r="A3">
        <v>2</v>
      </c>
      <c r="B3" t="s">
        <v>93</v>
      </c>
      <c r="C3">
        <v>6</v>
      </c>
      <c r="D3" t="s">
        <v>94</v>
      </c>
      <c r="E3" t="s">
        <v>92</v>
      </c>
    </row>
    <row r="4" spans="1:5" x14ac:dyDescent="0.55000000000000004">
      <c r="A4">
        <v>3</v>
      </c>
      <c r="B4" t="s">
        <v>95</v>
      </c>
      <c r="C4">
        <v>10</v>
      </c>
      <c r="D4" t="s">
        <v>96</v>
      </c>
      <c r="E4" t="s">
        <v>92</v>
      </c>
    </row>
    <row r="5" spans="1:5" x14ac:dyDescent="0.55000000000000004">
      <c r="A5">
        <v>4</v>
      </c>
      <c r="B5" t="s">
        <v>97</v>
      </c>
      <c r="C5">
        <v>14</v>
      </c>
      <c r="D5" t="s">
        <v>98</v>
      </c>
      <c r="E5" t="s">
        <v>92</v>
      </c>
    </row>
    <row r="6" spans="1:5" x14ac:dyDescent="0.55000000000000004">
      <c r="A6">
        <v>5</v>
      </c>
      <c r="B6" t="s">
        <v>99</v>
      </c>
      <c r="C6">
        <v>15</v>
      </c>
      <c r="D6" t="s">
        <v>100</v>
      </c>
      <c r="E6" t="s">
        <v>92</v>
      </c>
    </row>
    <row r="7" spans="1:5" x14ac:dyDescent="0.55000000000000004">
      <c r="A7">
        <v>6</v>
      </c>
      <c r="B7" t="s">
        <v>101</v>
      </c>
      <c r="C7">
        <v>16</v>
      </c>
      <c r="D7" t="s">
        <v>102</v>
      </c>
      <c r="E7" t="s">
        <v>92</v>
      </c>
    </row>
    <row r="8" spans="1:5" x14ac:dyDescent="0.55000000000000004">
      <c r="A8">
        <v>7</v>
      </c>
      <c r="B8" t="s">
        <v>103</v>
      </c>
      <c r="C8">
        <v>17</v>
      </c>
      <c r="D8" t="s">
        <v>104</v>
      </c>
      <c r="E8" t="s">
        <v>92</v>
      </c>
    </row>
    <row r="9" spans="1:5" x14ac:dyDescent="0.55000000000000004">
      <c r="A9">
        <v>8</v>
      </c>
      <c r="B9" t="s">
        <v>105</v>
      </c>
      <c r="C9">
        <v>18</v>
      </c>
      <c r="D9" t="s">
        <v>106</v>
      </c>
      <c r="E9" t="s">
        <v>92</v>
      </c>
    </row>
    <row r="10" spans="1:5" x14ac:dyDescent="0.55000000000000004">
      <c r="A10">
        <v>9</v>
      </c>
      <c r="B10" t="s">
        <v>107</v>
      </c>
      <c r="C10">
        <v>19</v>
      </c>
      <c r="D10" t="s">
        <v>108</v>
      </c>
      <c r="E10" t="s">
        <v>92</v>
      </c>
    </row>
    <row r="11" spans="1:5" x14ac:dyDescent="0.55000000000000004">
      <c r="A11">
        <v>10</v>
      </c>
      <c r="B11" t="s">
        <v>109</v>
      </c>
      <c r="C11">
        <v>20</v>
      </c>
      <c r="D11" t="s">
        <v>110</v>
      </c>
      <c r="E11" t="s">
        <v>92</v>
      </c>
    </row>
    <row r="12" spans="1:5" x14ac:dyDescent="0.55000000000000004">
      <c r="A12">
        <v>11</v>
      </c>
      <c r="B12" t="s">
        <v>111</v>
      </c>
      <c r="C12">
        <v>22</v>
      </c>
      <c r="D12" t="s">
        <v>112</v>
      </c>
      <c r="E12" t="s">
        <v>92</v>
      </c>
    </row>
    <row r="13" spans="1:5" x14ac:dyDescent="0.55000000000000004">
      <c r="A13">
        <v>12</v>
      </c>
      <c r="B13" t="s">
        <v>113</v>
      </c>
      <c r="C13">
        <v>24</v>
      </c>
      <c r="D13" t="s">
        <v>114</v>
      </c>
      <c r="E13" t="s">
        <v>92</v>
      </c>
    </row>
    <row r="14" spans="1:5" x14ac:dyDescent="0.55000000000000004">
      <c r="A14">
        <v>13</v>
      </c>
      <c r="B14" t="s">
        <v>115</v>
      </c>
      <c r="C14">
        <v>25</v>
      </c>
      <c r="D14" t="s">
        <v>116</v>
      </c>
      <c r="E14" t="s">
        <v>92</v>
      </c>
    </row>
    <row r="15" spans="1:5" x14ac:dyDescent="0.55000000000000004">
      <c r="A15">
        <v>14</v>
      </c>
      <c r="B15" t="s">
        <v>117</v>
      </c>
      <c r="C15">
        <v>26</v>
      </c>
      <c r="D15" t="s">
        <v>118</v>
      </c>
      <c r="E15" t="s">
        <v>92</v>
      </c>
    </row>
    <row r="16" spans="1:5" x14ac:dyDescent="0.55000000000000004">
      <c r="A16">
        <v>15</v>
      </c>
      <c r="B16" t="s">
        <v>119</v>
      </c>
      <c r="C16">
        <v>29</v>
      </c>
      <c r="D16" t="s">
        <v>120</v>
      </c>
      <c r="E16" t="s">
        <v>92</v>
      </c>
    </row>
    <row r="17" spans="1:5" x14ac:dyDescent="0.55000000000000004">
      <c r="A17">
        <v>16</v>
      </c>
      <c r="B17" t="s">
        <v>121</v>
      </c>
      <c r="C17">
        <v>33</v>
      </c>
      <c r="D17" t="s">
        <v>122</v>
      </c>
      <c r="E17" t="s">
        <v>92</v>
      </c>
    </row>
    <row r="18" spans="1:5" x14ac:dyDescent="0.55000000000000004">
      <c r="A18">
        <v>17</v>
      </c>
      <c r="B18" t="s">
        <v>123</v>
      </c>
      <c r="C18">
        <v>34</v>
      </c>
      <c r="D18" t="s">
        <v>124</v>
      </c>
      <c r="E18" t="s">
        <v>92</v>
      </c>
    </row>
    <row r="19" spans="1:5" x14ac:dyDescent="0.55000000000000004">
      <c r="A19">
        <v>18</v>
      </c>
      <c r="B19" t="s">
        <v>125</v>
      </c>
      <c r="C19">
        <v>35</v>
      </c>
      <c r="D19" t="s">
        <v>126</v>
      </c>
      <c r="E19" t="s">
        <v>92</v>
      </c>
    </row>
    <row r="20" spans="1:5" x14ac:dyDescent="0.55000000000000004">
      <c r="A20">
        <v>19</v>
      </c>
      <c r="B20" t="s">
        <v>127</v>
      </c>
      <c r="C20">
        <v>36</v>
      </c>
      <c r="D20" t="s">
        <v>128</v>
      </c>
      <c r="E20" t="s">
        <v>92</v>
      </c>
    </row>
    <row r="21" spans="1:5" x14ac:dyDescent="0.55000000000000004">
      <c r="A21">
        <v>20</v>
      </c>
      <c r="B21" t="s">
        <v>129</v>
      </c>
      <c r="C21">
        <v>37</v>
      </c>
      <c r="D21" t="s">
        <v>130</v>
      </c>
      <c r="E21" t="s">
        <v>92</v>
      </c>
    </row>
    <row r="22" spans="1:5" x14ac:dyDescent="0.55000000000000004">
      <c r="A22">
        <v>21</v>
      </c>
      <c r="B22" t="s">
        <v>131</v>
      </c>
      <c r="C22">
        <v>39</v>
      </c>
      <c r="D22" t="s">
        <v>132</v>
      </c>
      <c r="E22" t="s">
        <v>92</v>
      </c>
    </row>
    <row r="23" spans="1:5" x14ac:dyDescent="0.55000000000000004">
      <c r="A23">
        <v>22</v>
      </c>
      <c r="B23" t="s">
        <v>133</v>
      </c>
      <c r="C23">
        <v>40</v>
      </c>
      <c r="D23" t="s">
        <v>134</v>
      </c>
      <c r="E23" t="s">
        <v>92</v>
      </c>
    </row>
    <row r="24" spans="1:5" x14ac:dyDescent="0.55000000000000004">
      <c r="A24">
        <v>23</v>
      </c>
      <c r="B24" t="s">
        <v>135</v>
      </c>
      <c r="C24">
        <v>41</v>
      </c>
      <c r="D24" t="s">
        <v>136</v>
      </c>
      <c r="E24" t="s">
        <v>92</v>
      </c>
    </row>
    <row r="25" spans="1:5" x14ac:dyDescent="0.55000000000000004">
      <c r="A25">
        <v>24</v>
      </c>
      <c r="B25" t="s">
        <v>137</v>
      </c>
      <c r="C25">
        <v>42</v>
      </c>
      <c r="D25" t="s">
        <v>138</v>
      </c>
      <c r="E25" t="s">
        <v>92</v>
      </c>
    </row>
    <row r="26" spans="1:5" x14ac:dyDescent="0.55000000000000004">
      <c r="A26">
        <v>25</v>
      </c>
      <c r="B26" t="s">
        <v>139</v>
      </c>
      <c r="C26">
        <v>43</v>
      </c>
      <c r="D26" t="s">
        <v>140</v>
      </c>
      <c r="E26" t="s">
        <v>92</v>
      </c>
    </row>
    <row r="27" spans="1:5" x14ac:dyDescent="0.55000000000000004">
      <c r="A27">
        <v>26</v>
      </c>
      <c r="B27" t="s">
        <v>141</v>
      </c>
      <c r="C27">
        <v>45</v>
      </c>
      <c r="D27" t="s">
        <v>142</v>
      </c>
      <c r="E27" t="s">
        <v>92</v>
      </c>
    </row>
    <row r="28" spans="1:5" x14ac:dyDescent="0.55000000000000004">
      <c r="A28">
        <v>27</v>
      </c>
      <c r="B28" t="s">
        <v>143</v>
      </c>
      <c r="C28">
        <v>47</v>
      </c>
      <c r="D28" t="s">
        <v>144</v>
      </c>
      <c r="E28" t="s">
        <v>92</v>
      </c>
    </row>
    <row r="29" spans="1:5" x14ac:dyDescent="0.55000000000000004">
      <c r="A29">
        <v>28</v>
      </c>
      <c r="B29" t="s">
        <v>145</v>
      </c>
      <c r="C29">
        <v>48</v>
      </c>
      <c r="D29" t="s">
        <v>146</v>
      </c>
      <c r="E29" t="s">
        <v>92</v>
      </c>
    </row>
    <row r="30" spans="1:5" x14ac:dyDescent="0.55000000000000004">
      <c r="A30">
        <v>29</v>
      </c>
      <c r="B30" t="s">
        <v>147</v>
      </c>
      <c r="C30">
        <v>49</v>
      </c>
      <c r="D30" t="s">
        <v>148</v>
      </c>
      <c r="E30" t="s">
        <v>92</v>
      </c>
    </row>
    <row r="31" spans="1:5" x14ac:dyDescent="0.55000000000000004">
      <c r="A31">
        <v>30</v>
      </c>
      <c r="B31" t="s">
        <v>149</v>
      </c>
      <c r="C31">
        <v>53</v>
      </c>
      <c r="D31" t="s">
        <v>150</v>
      </c>
      <c r="E31" t="s">
        <v>92</v>
      </c>
    </row>
    <row r="32" spans="1:5" x14ac:dyDescent="0.55000000000000004">
      <c r="A32">
        <v>31</v>
      </c>
      <c r="B32" t="s">
        <v>151</v>
      </c>
      <c r="C32">
        <v>57</v>
      </c>
      <c r="D32" t="s">
        <v>152</v>
      </c>
      <c r="E32" t="s">
        <v>92</v>
      </c>
    </row>
    <row r="33" spans="1:5" x14ac:dyDescent="0.55000000000000004">
      <c r="A33">
        <v>32</v>
      </c>
      <c r="B33" t="s">
        <v>153</v>
      </c>
      <c r="C33">
        <v>58</v>
      </c>
      <c r="D33" t="s">
        <v>154</v>
      </c>
      <c r="E33" t="s">
        <v>92</v>
      </c>
    </row>
    <row r="34" spans="1:5" x14ac:dyDescent="0.55000000000000004">
      <c r="A34">
        <v>33</v>
      </c>
      <c r="B34" t="s">
        <v>155</v>
      </c>
      <c r="C34">
        <v>60</v>
      </c>
      <c r="D34" t="s">
        <v>156</v>
      </c>
      <c r="E34" t="s">
        <v>92</v>
      </c>
    </row>
    <row r="35" spans="1:5" x14ac:dyDescent="0.55000000000000004">
      <c r="A35">
        <v>34</v>
      </c>
      <c r="B35" t="s">
        <v>157</v>
      </c>
      <c r="C35">
        <v>61</v>
      </c>
      <c r="D35" t="s">
        <v>158</v>
      </c>
      <c r="E35" t="s">
        <v>92</v>
      </c>
    </row>
    <row r="36" spans="1:5" x14ac:dyDescent="0.55000000000000004">
      <c r="A36">
        <v>35</v>
      </c>
      <c r="B36" t="s">
        <v>159</v>
      </c>
      <c r="C36">
        <v>62</v>
      </c>
      <c r="D36" t="s">
        <v>160</v>
      </c>
      <c r="E36" t="s">
        <v>92</v>
      </c>
    </row>
    <row r="37" spans="1:5" x14ac:dyDescent="0.55000000000000004">
      <c r="A37">
        <v>36</v>
      </c>
      <c r="B37" t="s">
        <v>161</v>
      </c>
      <c r="C37">
        <v>63</v>
      </c>
      <c r="D37" t="s">
        <v>162</v>
      </c>
      <c r="E37" t="s">
        <v>92</v>
      </c>
    </row>
    <row r="38" spans="1:5" x14ac:dyDescent="0.55000000000000004">
      <c r="A38">
        <v>37</v>
      </c>
      <c r="B38" t="s">
        <v>163</v>
      </c>
      <c r="C38">
        <v>64</v>
      </c>
      <c r="D38" t="s">
        <v>164</v>
      </c>
      <c r="E38" t="s">
        <v>92</v>
      </c>
    </row>
    <row r="39" spans="1:5" x14ac:dyDescent="0.55000000000000004">
      <c r="A39">
        <v>38</v>
      </c>
      <c r="B39" t="s">
        <v>165</v>
      </c>
      <c r="C39">
        <v>65</v>
      </c>
      <c r="D39" t="s">
        <v>166</v>
      </c>
      <c r="E39" t="s">
        <v>92</v>
      </c>
    </row>
    <row r="40" spans="1:5" x14ac:dyDescent="0.55000000000000004">
      <c r="A40">
        <v>39</v>
      </c>
      <c r="B40" t="s">
        <v>167</v>
      </c>
      <c r="C40">
        <v>66</v>
      </c>
      <c r="D40" t="s">
        <v>168</v>
      </c>
      <c r="E40" t="s">
        <v>92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E40"/>
  <sheetViews>
    <sheetView workbookViewId="0"/>
  </sheetViews>
  <sheetFormatPr defaultRowHeight="14.4" x14ac:dyDescent="0.55000000000000004"/>
  <sheetData>
    <row r="1" spans="1:5" x14ac:dyDescent="0.55000000000000004">
      <c r="A1" t="s">
        <v>2</v>
      </c>
      <c r="B1" t="s">
        <v>86</v>
      </c>
      <c r="C1" t="s">
        <v>87</v>
      </c>
      <c r="D1" t="s">
        <v>88</v>
      </c>
      <c r="E1" t="s">
        <v>89</v>
      </c>
    </row>
    <row r="2" spans="1:5" x14ac:dyDescent="0.55000000000000004">
      <c r="A2">
        <v>1</v>
      </c>
      <c r="B2" t="s">
        <v>169</v>
      </c>
      <c r="C2">
        <v>1</v>
      </c>
      <c r="D2" t="s">
        <v>170</v>
      </c>
      <c r="E2" t="s">
        <v>171</v>
      </c>
    </row>
    <row r="3" spans="1:5" x14ac:dyDescent="0.55000000000000004">
      <c r="A3">
        <v>2</v>
      </c>
      <c r="B3" t="s">
        <v>172</v>
      </c>
      <c r="C3">
        <v>2</v>
      </c>
      <c r="D3" t="s">
        <v>173</v>
      </c>
      <c r="E3" t="s">
        <v>171</v>
      </c>
    </row>
    <row r="4" spans="1:5" x14ac:dyDescent="0.55000000000000004">
      <c r="A4">
        <v>3</v>
      </c>
      <c r="B4" t="s">
        <v>174</v>
      </c>
      <c r="C4">
        <v>3</v>
      </c>
      <c r="D4" t="s">
        <v>175</v>
      </c>
      <c r="E4" t="s">
        <v>171</v>
      </c>
    </row>
    <row r="5" spans="1:5" x14ac:dyDescent="0.55000000000000004">
      <c r="A5">
        <v>4</v>
      </c>
      <c r="B5" t="s">
        <v>176</v>
      </c>
      <c r="C5">
        <v>4</v>
      </c>
      <c r="D5" t="s">
        <v>177</v>
      </c>
      <c r="E5" t="s">
        <v>171</v>
      </c>
    </row>
    <row r="6" spans="1:5" x14ac:dyDescent="0.55000000000000004">
      <c r="A6">
        <v>5</v>
      </c>
      <c r="B6" t="s">
        <v>178</v>
      </c>
      <c r="C6">
        <v>5</v>
      </c>
      <c r="D6" t="s">
        <v>179</v>
      </c>
      <c r="E6" t="s">
        <v>171</v>
      </c>
    </row>
    <row r="7" spans="1:5" x14ac:dyDescent="0.55000000000000004">
      <c r="A7">
        <v>6</v>
      </c>
      <c r="B7" t="s">
        <v>180</v>
      </c>
      <c r="C7">
        <v>6</v>
      </c>
      <c r="D7" t="s">
        <v>181</v>
      </c>
      <c r="E7" t="s">
        <v>171</v>
      </c>
    </row>
    <row r="8" spans="1:5" x14ac:dyDescent="0.55000000000000004">
      <c r="A8">
        <v>7</v>
      </c>
      <c r="B8" t="s">
        <v>182</v>
      </c>
      <c r="C8">
        <v>7</v>
      </c>
      <c r="D8" t="s">
        <v>183</v>
      </c>
      <c r="E8" t="s">
        <v>171</v>
      </c>
    </row>
    <row r="9" spans="1:5" x14ac:dyDescent="0.55000000000000004">
      <c r="A9">
        <v>8</v>
      </c>
      <c r="B9" t="s">
        <v>184</v>
      </c>
      <c r="C9">
        <v>8</v>
      </c>
      <c r="D9" t="s">
        <v>185</v>
      </c>
      <c r="E9" t="s">
        <v>171</v>
      </c>
    </row>
    <row r="10" spans="1:5" x14ac:dyDescent="0.55000000000000004">
      <c r="A10">
        <v>9</v>
      </c>
      <c r="B10" t="s">
        <v>186</v>
      </c>
      <c r="C10">
        <v>9</v>
      </c>
      <c r="D10" t="s">
        <v>187</v>
      </c>
      <c r="E10" t="s">
        <v>171</v>
      </c>
    </row>
    <row r="11" spans="1:5" x14ac:dyDescent="0.55000000000000004">
      <c r="A11">
        <v>10</v>
      </c>
      <c r="B11" t="s">
        <v>188</v>
      </c>
      <c r="C11">
        <v>10</v>
      </c>
      <c r="D11" t="s">
        <v>189</v>
      </c>
      <c r="E11" t="s">
        <v>171</v>
      </c>
    </row>
    <row r="12" spans="1:5" x14ac:dyDescent="0.55000000000000004">
      <c r="A12">
        <v>11</v>
      </c>
      <c r="B12" t="s">
        <v>190</v>
      </c>
      <c r="C12">
        <v>11</v>
      </c>
      <c r="D12" t="s">
        <v>191</v>
      </c>
      <c r="E12" t="s">
        <v>171</v>
      </c>
    </row>
    <row r="13" spans="1:5" x14ac:dyDescent="0.55000000000000004">
      <c r="A13">
        <v>12</v>
      </c>
      <c r="B13" t="s">
        <v>192</v>
      </c>
      <c r="C13">
        <v>12</v>
      </c>
      <c r="D13" t="s">
        <v>193</v>
      </c>
      <c r="E13" t="s">
        <v>171</v>
      </c>
    </row>
    <row r="14" spans="1:5" x14ac:dyDescent="0.55000000000000004">
      <c r="A14">
        <v>13</v>
      </c>
      <c r="B14" t="s">
        <v>194</v>
      </c>
      <c r="C14">
        <v>13</v>
      </c>
      <c r="D14" t="s">
        <v>195</v>
      </c>
      <c r="E14" t="s">
        <v>171</v>
      </c>
    </row>
    <row r="15" spans="1:5" x14ac:dyDescent="0.55000000000000004">
      <c r="A15">
        <v>14</v>
      </c>
      <c r="B15" t="s">
        <v>196</v>
      </c>
      <c r="C15">
        <v>21</v>
      </c>
      <c r="D15" t="s">
        <v>197</v>
      </c>
      <c r="E15" t="s">
        <v>171</v>
      </c>
    </row>
    <row r="16" spans="1:5" x14ac:dyDescent="0.55000000000000004">
      <c r="A16">
        <v>15</v>
      </c>
      <c r="B16" t="s">
        <v>198</v>
      </c>
      <c r="C16">
        <v>23</v>
      </c>
      <c r="D16" t="s">
        <v>199</v>
      </c>
      <c r="E16" t="s">
        <v>171</v>
      </c>
    </row>
    <row r="17" spans="1:5" x14ac:dyDescent="0.55000000000000004">
      <c r="A17">
        <v>16</v>
      </c>
      <c r="B17" t="s">
        <v>200</v>
      </c>
      <c r="C17">
        <v>26</v>
      </c>
      <c r="D17" t="s">
        <v>201</v>
      </c>
      <c r="E17" t="s">
        <v>171</v>
      </c>
    </row>
    <row r="18" spans="1:5" x14ac:dyDescent="0.55000000000000004">
      <c r="A18">
        <v>17</v>
      </c>
      <c r="B18" t="s">
        <v>202</v>
      </c>
      <c r="C18">
        <v>27</v>
      </c>
      <c r="D18" t="s">
        <v>203</v>
      </c>
      <c r="E18" t="s">
        <v>171</v>
      </c>
    </row>
    <row r="19" spans="1:5" x14ac:dyDescent="0.55000000000000004">
      <c r="A19">
        <v>18</v>
      </c>
      <c r="B19" t="s">
        <v>204</v>
      </c>
      <c r="C19">
        <v>28</v>
      </c>
      <c r="D19" t="s">
        <v>205</v>
      </c>
      <c r="E19" t="s">
        <v>171</v>
      </c>
    </row>
    <row r="20" spans="1:5" x14ac:dyDescent="0.55000000000000004">
      <c r="A20">
        <v>19</v>
      </c>
      <c r="B20" t="s">
        <v>206</v>
      </c>
      <c r="C20">
        <v>29</v>
      </c>
      <c r="D20" t="s">
        <v>207</v>
      </c>
      <c r="E20" t="s">
        <v>171</v>
      </c>
    </row>
    <row r="21" spans="1:5" x14ac:dyDescent="0.55000000000000004">
      <c r="A21">
        <v>20</v>
      </c>
      <c r="B21" t="s">
        <v>208</v>
      </c>
      <c r="C21">
        <v>30</v>
      </c>
      <c r="D21" t="s">
        <v>209</v>
      </c>
      <c r="E21" t="s">
        <v>171</v>
      </c>
    </row>
    <row r="22" spans="1:5" x14ac:dyDescent="0.55000000000000004">
      <c r="A22">
        <v>21</v>
      </c>
      <c r="B22" t="s">
        <v>210</v>
      </c>
      <c r="C22">
        <v>31</v>
      </c>
      <c r="D22" t="s">
        <v>211</v>
      </c>
      <c r="E22" t="s">
        <v>171</v>
      </c>
    </row>
    <row r="23" spans="1:5" x14ac:dyDescent="0.55000000000000004">
      <c r="A23">
        <v>22</v>
      </c>
      <c r="B23" t="s">
        <v>212</v>
      </c>
      <c r="C23">
        <v>32</v>
      </c>
      <c r="D23" t="s">
        <v>213</v>
      </c>
      <c r="E23" t="s">
        <v>171</v>
      </c>
    </row>
    <row r="24" spans="1:5" x14ac:dyDescent="0.55000000000000004">
      <c r="A24">
        <v>23</v>
      </c>
      <c r="B24" t="s">
        <v>214</v>
      </c>
      <c r="C24">
        <v>34</v>
      </c>
      <c r="D24" t="s">
        <v>215</v>
      </c>
      <c r="E24" t="s">
        <v>171</v>
      </c>
    </row>
    <row r="25" spans="1:5" x14ac:dyDescent="0.55000000000000004">
      <c r="A25">
        <v>24</v>
      </c>
      <c r="B25" t="s">
        <v>216</v>
      </c>
      <c r="C25">
        <v>37</v>
      </c>
      <c r="D25" t="s">
        <v>217</v>
      </c>
      <c r="E25" t="s">
        <v>171</v>
      </c>
    </row>
    <row r="26" spans="1:5" x14ac:dyDescent="0.55000000000000004">
      <c r="A26">
        <v>25</v>
      </c>
      <c r="B26" t="s">
        <v>218</v>
      </c>
      <c r="C26">
        <v>38</v>
      </c>
      <c r="D26" t="s">
        <v>219</v>
      </c>
      <c r="E26" t="s">
        <v>171</v>
      </c>
    </row>
    <row r="27" spans="1:5" x14ac:dyDescent="0.55000000000000004">
      <c r="A27">
        <v>26</v>
      </c>
      <c r="B27" t="s">
        <v>220</v>
      </c>
      <c r="C27">
        <v>39</v>
      </c>
      <c r="D27" t="s">
        <v>221</v>
      </c>
      <c r="E27" t="s">
        <v>171</v>
      </c>
    </row>
    <row r="28" spans="1:5" x14ac:dyDescent="0.55000000000000004">
      <c r="A28">
        <v>27</v>
      </c>
      <c r="B28" t="s">
        <v>222</v>
      </c>
      <c r="C28">
        <v>41</v>
      </c>
      <c r="D28" t="s">
        <v>223</v>
      </c>
      <c r="E28" t="s">
        <v>171</v>
      </c>
    </row>
    <row r="29" spans="1:5" x14ac:dyDescent="0.55000000000000004">
      <c r="A29">
        <v>28</v>
      </c>
      <c r="B29" t="s">
        <v>224</v>
      </c>
      <c r="C29">
        <v>42</v>
      </c>
      <c r="D29" t="s">
        <v>225</v>
      </c>
      <c r="E29" t="s">
        <v>171</v>
      </c>
    </row>
    <row r="30" spans="1:5" x14ac:dyDescent="0.55000000000000004">
      <c r="A30">
        <v>29</v>
      </c>
      <c r="B30" t="s">
        <v>226</v>
      </c>
      <c r="C30">
        <v>44</v>
      </c>
      <c r="D30" t="s">
        <v>227</v>
      </c>
      <c r="E30" t="s">
        <v>171</v>
      </c>
    </row>
    <row r="31" spans="1:5" x14ac:dyDescent="0.55000000000000004">
      <c r="A31">
        <v>30</v>
      </c>
      <c r="B31" t="s">
        <v>228</v>
      </c>
      <c r="C31">
        <v>45</v>
      </c>
      <c r="D31" t="s">
        <v>229</v>
      </c>
      <c r="E31" t="s">
        <v>171</v>
      </c>
    </row>
    <row r="32" spans="1:5" x14ac:dyDescent="0.55000000000000004">
      <c r="A32">
        <v>31</v>
      </c>
      <c r="B32" t="s">
        <v>230</v>
      </c>
      <c r="C32">
        <v>46</v>
      </c>
      <c r="D32" t="s">
        <v>231</v>
      </c>
      <c r="E32" t="s">
        <v>171</v>
      </c>
    </row>
    <row r="33" spans="1:5" x14ac:dyDescent="0.55000000000000004">
      <c r="A33">
        <v>32</v>
      </c>
      <c r="B33" t="s">
        <v>232</v>
      </c>
      <c r="C33">
        <v>49</v>
      </c>
      <c r="D33" t="s">
        <v>233</v>
      </c>
      <c r="E33" t="s">
        <v>171</v>
      </c>
    </row>
    <row r="34" spans="1:5" x14ac:dyDescent="0.55000000000000004">
      <c r="A34">
        <v>33</v>
      </c>
      <c r="B34" t="s">
        <v>234</v>
      </c>
      <c r="C34">
        <v>50</v>
      </c>
      <c r="D34" t="s">
        <v>235</v>
      </c>
      <c r="E34" t="s">
        <v>171</v>
      </c>
    </row>
    <row r="35" spans="1:5" x14ac:dyDescent="0.55000000000000004">
      <c r="A35">
        <v>34</v>
      </c>
      <c r="B35" t="s">
        <v>236</v>
      </c>
      <c r="C35">
        <v>51</v>
      </c>
      <c r="D35" t="s">
        <v>237</v>
      </c>
      <c r="E35" t="s">
        <v>171</v>
      </c>
    </row>
    <row r="36" spans="1:5" x14ac:dyDescent="0.55000000000000004">
      <c r="A36">
        <v>35</v>
      </c>
      <c r="B36" t="s">
        <v>238</v>
      </c>
      <c r="C36">
        <v>52</v>
      </c>
      <c r="D36" t="s">
        <v>239</v>
      </c>
      <c r="E36" t="s">
        <v>171</v>
      </c>
    </row>
    <row r="37" spans="1:5" x14ac:dyDescent="0.55000000000000004">
      <c r="A37">
        <v>36</v>
      </c>
      <c r="B37" t="s">
        <v>240</v>
      </c>
      <c r="C37">
        <v>54</v>
      </c>
      <c r="D37" t="s">
        <v>241</v>
      </c>
      <c r="E37" t="s">
        <v>171</v>
      </c>
    </row>
    <row r="38" spans="1:5" x14ac:dyDescent="0.55000000000000004">
      <c r="A38">
        <v>37</v>
      </c>
      <c r="B38" t="s">
        <v>242</v>
      </c>
      <c r="C38">
        <v>55</v>
      </c>
      <c r="D38" t="s">
        <v>243</v>
      </c>
      <c r="E38" t="s">
        <v>171</v>
      </c>
    </row>
    <row r="39" spans="1:5" x14ac:dyDescent="0.55000000000000004">
      <c r="A39">
        <v>38</v>
      </c>
      <c r="B39" t="s">
        <v>244</v>
      </c>
      <c r="C39">
        <v>56</v>
      </c>
      <c r="D39" t="s">
        <v>245</v>
      </c>
      <c r="E39" t="s">
        <v>171</v>
      </c>
    </row>
    <row r="40" spans="1:5" x14ac:dyDescent="0.55000000000000004">
      <c r="A40">
        <v>39</v>
      </c>
      <c r="B40" t="s">
        <v>246</v>
      </c>
      <c r="C40">
        <v>59</v>
      </c>
      <c r="D40" t="s">
        <v>247</v>
      </c>
      <c r="E40" t="s">
        <v>171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"/>
  <sheetViews>
    <sheetView workbookViewId="0"/>
  </sheetViews>
  <sheetFormatPr defaultRowHeight="14.4" x14ac:dyDescent="0.55000000000000004"/>
  <sheetData>
    <row r="1" spans="1:1" x14ac:dyDescent="0.55000000000000004">
      <c r="A1" t="s">
        <v>248</v>
      </c>
    </row>
  </sheetData>
  <pageMargins left="0.7" right="0.7" top="0.75" bottom="0.75" header="0.3" footer="0.3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P16"/>
  <sheetViews>
    <sheetView workbookViewId="0"/>
  </sheetViews>
  <sheetFormatPr defaultRowHeight="14.4" x14ac:dyDescent="0.55000000000000004"/>
  <sheetData>
    <row r="1" spans="1:16" x14ac:dyDescent="0.55000000000000004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</row>
    <row r="2" spans="1:16" x14ac:dyDescent="0.55000000000000004">
      <c r="A2">
        <v>1</v>
      </c>
      <c r="B2" t="s">
        <v>249</v>
      </c>
      <c r="C2" t="s">
        <v>250</v>
      </c>
      <c r="D2" t="s">
        <v>251</v>
      </c>
      <c r="E2" t="s">
        <v>252</v>
      </c>
      <c r="F2" t="s">
        <v>253</v>
      </c>
      <c r="H2" t="s">
        <v>253</v>
      </c>
      <c r="I2" t="s">
        <v>254</v>
      </c>
      <c r="J2" t="s">
        <v>253</v>
      </c>
      <c r="K2" t="s">
        <v>254</v>
      </c>
      <c r="M2" t="s">
        <v>249</v>
      </c>
      <c r="N2" t="s">
        <v>255</v>
      </c>
      <c r="O2" t="s">
        <v>255</v>
      </c>
      <c r="P2" t="s">
        <v>253</v>
      </c>
    </row>
    <row r="3" spans="1:16" x14ac:dyDescent="0.55000000000000004">
      <c r="A3">
        <v>2</v>
      </c>
      <c r="B3" t="s">
        <v>250</v>
      </c>
      <c r="C3" t="s">
        <v>256</v>
      </c>
      <c r="D3" t="s">
        <v>257</v>
      </c>
      <c r="E3" t="s">
        <v>255</v>
      </c>
      <c r="F3" t="s">
        <v>258</v>
      </c>
      <c r="H3" t="s">
        <v>254</v>
      </c>
      <c r="I3" t="s">
        <v>257</v>
      </c>
      <c r="J3" t="s">
        <v>255</v>
      </c>
      <c r="K3" t="s">
        <v>259</v>
      </c>
      <c r="M3" t="s">
        <v>254</v>
      </c>
      <c r="N3" t="s">
        <v>23</v>
      </c>
      <c r="O3" t="s">
        <v>259</v>
      </c>
      <c r="P3" t="s">
        <v>255</v>
      </c>
    </row>
    <row r="4" spans="1:16" x14ac:dyDescent="0.55000000000000004">
      <c r="A4">
        <v>3</v>
      </c>
      <c r="B4" t="s">
        <v>255</v>
      </c>
      <c r="C4" t="s">
        <v>260</v>
      </c>
      <c r="D4" t="s">
        <v>255</v>
      </c>
      <c r="E4" t="s">
        <v>258</v>
      </c>
      <c r="F4" t="s">
        <v>261</v>
      </c>
      <c r="H4" t="s">
        <v>255</v>
      </c>
      <c r="I4" t="s">
        <v>254</v>
      </c>
      <c r="J4" t="s">
        <v>258</v>
      </c>
      <c r="K4" t="s">
        <v>253</v>
      </c>
      <c r="M4" t="s">
        <v>249</v>
      </c>
      <c r="N4" t="s">
        <v>253</v>
      </c>
      <c r="O4" t="s">
        <v>254</v>
      </c>
      <c r="P4" t="s">
        <v>258</v>
      </c>
    </row>
    <row r="5" spans="1:16" x14ac:dyDescent="0.55000000000000004">
      <c r="A5">
        <v>4</v>
      </c>
      <c r="B5" t="s">
        <v>252</v>
      </c>
      <c r="C5" t="s">
        <v>254</v>
      </c>
      <c r="D5" t="s">
        <v>258</v>
      </c>
      <c r="E5" t="s">
        <v>256</v>
      </c>
      <c r="F5" t="s">
        <v>250</v>
      </c>
      <c r="G5" t="s">
        <v>254</v>
      </c>
      <c r="H5" t="s">
        <v>259</v>
      </c>
      <c r="J5" t="s">
        <v>256</v>
      </c>
      <c r="K5" t="s">
        <v>254</v>
      </c>
      <c r="L5" t="s">
        <v>260</v>
      </c>
      <c r="M5" t="s">
        <v>262</v>
      </c>
      <c r="N5" t="s">
        <v>261</v>
      </c>
      <c r="O5" t="s">
        <v>259</v>
      </c>
      <c r="P5" t="s">
        <v>252</v>
      </c>
    </row>
    <row r="6" spans="1:16" x14ac:dyDescent="0.55000000000000004">
      <c r="A6">
        <v>5</v>
      </c>
      <c r="E6" t="s">
        <v>260</v>
      </c>
      <c r="F6" t="s">
        <v>255</v>
      </c>
      <c r="G6" t="s">
        <v>256</v>
      </c>
      <c r="H6" t="s">
        <v>259</v>
      </c>
      <c r="K6" t="s">
        <v>263</v>
      </c>
      <c r="L6" t="s">
        <v>256</v>
      </c>
      <c r="M6" t="s">
        <v>254</v>
      </c>
    </row>
    <row r="7" spans="1:16" x14ac:dyDescent="0.55000000000000004">
      <c r="A7">
        <v>6</v>
      </c>
      <c r="B7" t="s">
        <v>260</v>
      </c>
      <c r="C7" t="s">
        <v>256</v>
      </c>
      <c r="D7" t="s">
        <v>254</v>
      </c>
      <c r="E7" t="s">
        <v>264</v>
      </c>
      <c r="F7" t="s">
        <v>254</v>
      </c>
      <c r="G7" t="s">
        <v>258</v>
      </c>
      <c r="H7" t="s">
        <v>254</v>
      </c>
      <c r="J7" t="s">
        <v>257</v>
      </c>
      <c r="K7" t="s">
        <v>256</v>
      </c>
      <c r="L7" t="s">
        <v>263</v>
      </c>
      <c r="M7" t="s">
        <v>265</v>
      </c>
      <c r="N7" t="s">
        <v>263</v>
      </c>
      <c r="O7" t="s">
        <v>259</v>
      </c>
      <c r="P7" t="s">
        <v>255</v>
      </c>
    </row>
    <row r="8" spans="1:16" x14ac:dyDescent="0.55000000000000004">
      <c r="A8">
        <v>7</v>
      </c>
      <c r="B8" t="s">
        <v>256</v>
      </c>
      <c r="C8" t="s">
        <v>259</v>
      </c>
      <c r="D8" t="s">
        <v>256</v>
      </c>
      <c r="E8" t="s">
        <v>251</v>
      </c>
      <c r="F8" t="s">
        <v>252</v>
      </c>
      <c r="I8" t="s">
        <v>254</v>
      </c>
      <c r="J8" t="s">
        <v>263</v>
      </c>
      <c r="K8" t="s">
        <v>260</v>
      </c>
      <c r="L8" t="s">
        <v>255</v>
      </c>
      <c r="N8" t="s">
        <v>258</v>
      </c>
      <c r="O8" t="s">
        <v>255</v>
      </c>
      <c r="P8" t="s">
        <v>266</v>
      </c>
    </row>
    <row r="9" spans="1:16" x14ac:dyDescent="0.55000000000000004">
      <c r="A9">
        <v>8</v>
      </c>
      <c r="B9" t="s">
        <v>260</v>
      </c>
      <c r="C9" t="s">
        <v>261</v>
      </c>
      <c r="D9" t="s">
        <v>249</v>
      </c>
      <c r="E9" t="s">
        <v>255</v>
      </c>
      <c r="G9" t="s">
        <v>264</v>
      </c>
      <c r="H9" t="s">
        <v>255</v>
      </c>
      <c r="I9" t="s">
        <v>256</v>
      </c>
      <c r="J9" t="s">
        <v>263</v>
      </c>
      <c r="K9" t="s">
        <v>261</v>
      </c>
      <c r="M9" t="s">
        <v>252</v>
      </c>
      <c r="N9" t="s">
        <v>254</v>
      </c>
      <c r="O9" t="s">
        <v>264</v>
      </c>
      <c r="P9" t="s">
        <v>256</v>
      </c>
    </row>
    <row r="10" spans="1:16" x14ac:dyDescent="0.55000000000000004">
      <c r="A10">
        <v>9</v>
      </c>
      <c r="B10" t="s">
        <v>255</v>
      </c>
      <c r="C10" t="s">
        <v>249</v>
      </c>
      <c r="D10" t="s">
        <v>259</v>
      </c>
      <c r="F10" t="s">
        <v>251</v>
      </c>
      <c r="G10" t="s">
        <v>258</v>
      </c>
      <c r="H10" t="s">
        <v>254</v>
      </c>
      <c r="I10" t="s">
        <v>259</v>
      </c>
      <c r="L10" t="s">
        <v>249</v>
      </c>
      <c r="M10" t="s">
        <v>254</v>
      </c>
      <c r="N10" t="s">
        <v>250</v>
      </c>
      <c r="O10" t="s">
        <v>254</v>
      </c>
      <c r="P10" t="s">
        <v>250</v>
      </c>
    </row>
    <row r="11" spans="1:16" x14ac:dyDescent="0.55000000000000004">
      <c r="A11">
        <v>10</v>
      </c>
      <c r="B11" t="s">
        <v>249</v>
      </c>
      <c r="C11" t="s">
        <v>250</v>
      </c>
      <c r="D11" t="s">
        <v>255</v>
      </c>
      <c r="E11" t="s">
        <v>256</v>
      </c>
      <c r="F11" t="s">
        <v>264</v>
      </c>
      <c r="G11" t="s">
        <v>255</v>
      </c>
      <c r="H11" t="s">
        <v>258</v>
      </c>
      <c r="J11" t="s">
        <v>252</v>
      </c>
      <c r="K11" t="s">
        <v>254</v>
      </c>
      <c r="L11" t="s">
        <v>260</v>
      </c>
      <c r="M11" t="s">
        <v>267</v>
      </c>
      <c r="N11" t="s">
        <v>255</v>
      </c>
      <c r="O11" t="s">
        <v>259</v>
      </c>
      <c r="P11" t="s">
        <v>254</v>
      </c>
    </row>
    <row r="12" spans="1:16" x14ac:dyDescent="0.55000000000000004">
      <c r="A12">
        <v>11</v>
      </c>
      <c r="E12" t="s">
        <v>263</v>
      </c>
      <c r="F12" t="s">
        <v>259</v>
      </c>
      <c r="G12" t="s">
        <v>255</v>
      </c>
      <c r="J12" t="s">
        <v>256</v>
      </c>
      <c r="K12" t="s">
        <v>263</v>
      </c>
      <c r="L12" t="s">
        <v>255</v>
      </c>
      <c r="M12" t="s">
        <v>255</v>
      </c>
    </row>
    <row r="13" spans="1:16" x14ac:dyDescent="0.55000000000000004">
      <c r="A13">
        <v>12</v>
      </c>
      <c r="B13" t="s">
        <v>252</v>
      </c>
      <c r="C13" t="s">
        <v>254</v>
      </c>
      <c r="D13" t="s">
        <v>263</v>
      </c>
      <c r="E13" t="s">
        <v>262</v>
      </c>
      <c r="F13" t="s">
        <v>256</v>
      </c>
      <c r="G13" t="s">
        <v>260</v>
      </c>
      <c r="H13" t="s">
        <v>255</v>
      </c>
      <c r="J13" t="s">
        <v>249</v>
      </c>
      <c r="K13" t="s">
        <v>255</v>
      </c>
      <c r="L13" t="s">
        <v>254</v>
      </c>
      <c r="M13" t="s">
        <v>249</v>
      </c>
      <c r="N13" t="s">
        <v>254</v>
      </c>
      <c r="O13" t="s">
        <v>259</v>
      </c>
      <c r="P13" t="s">
        <v>250</v>
      </c>
    </row>
    <row r="14" spans="1:16" x14ac:dyDescent="0.55000000000000004">
      <c r="A14">
        <v>13</v>
      </c>
      <c r="B14" t="s">
        <v>261</v>
      </c>
      <c r="C14" t="s">
        <v>262</v>
      </c>
      <c r="D14" t="s">
        <v>262</v>
      </c>
      <c r="E14" t="s">
        <v>256</v>
      </c>
      <c r="G14" t="s">
        <v>267</v>
      </c>
      <c r="H14" t="s">
        <v>258</v>
      </c>
      <c r="I14" t="s">
        <v>254</v>
      </c>
      <c r="J14" t="s">
        <v>250</v>
      </c>
      <c r="L14" t="s">
        <v>268</v>
      </c>
      <c r="M14" t="s">
        <v>254</v>
      </c>
      <c r="N14" t="s">
        <v>250</v>
      </c>
      <c r="O14" t="s">
        <v>256</v>
      </c>
      <c r="P14" t="s">
        <v>255</v>
      </c>
    </row>
    <row r="15" spans="1:16" x14ac:dyDescent="0.55000000000000004">
      <c r="A15">
        <v>14</v>
      </c>
      <c r="B15" t="s">
        <v>249</v>
      </c>
      <c r="C15" t="s">
        <v>261</v>
      </c>
      <c r="D15" t="s">
        <v>254</v>
      </c>
      <c r="E15" t="s">
        <v>258</v>
      </c>
      <c r="G15" t="s">
        <v>254</v>
      </c>
      <c r="H15" t="s">
        <v>256</v>
      </c>
      <c r="I15" t="s">
        <v>267</v>
      </c>
      <c r="J15" t="s">
        <v>255</v>
      </c>
      <c r="L15" t="s">
        <v>255</v>
      </c>
      <c r="M15" t="s">
        <v>269</v>
      </c>
      <c r="N15" t="s">
        <v>258</v>
      </c>
      <c r="O15" t="s">
        <v>261</v>
      </c>
      <c r="P15" t="s">
        <v>260</v>
      </c>
    </row>
    <row r="16" spans="1:16" x14ac:dyDescent="0.55000000000000004">
      <c r="A16">
        <v>15</v>
      </c>
      <c r="B16" t="s">
        <v>250</v>
      </c>
      <c r="C16" t="s">
        <v>265</v>
      </c>
      <c r="D16" t="s">
        <v>253</v>
      </c>
      <c r="E16" t="s">
        <v>261</v>
      </c>
      <c r="G16" t="s">
        <v>265</v>
      </c>
      <c r="H16" t="s">
        <v>255</v>
      </c>
      <c r="I16" t="s">
        <v>254</v>
      </c>
      <c r="J16" t="s">
        <v>258</v>
      </c>
      <c r="L16" t="s">
        <v>267</v>
      </c>
      <c r="M16" t="s">
        <v>255</v>
      </c>
      <c r="N16" t="s">
        <v>254</v>
      </c>
      <c r="O16" t="s">
        <v>260</v>
      </c>
      <c r="P16" t="s">
        <v>249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Home</vt:lpstr>
      <vt:lpstr>Report</vt:lpstr>
      <vt:lpstr>Solution</vt:lpstr>
      <vt:lpstr>Raw</vt:lpstr>
      <vt:lpstr>Across</vt:lpstr>
      <vt:lpstr>Down</vt:lpstr>
      <vt:lpstr>Title</vt:lpstr>
      <vt:lpstr>Solution_Raw</vt:lpstr>
      <vt:lpstr>Report!Print_Area</vt:lpstr>
      <vt:lpstr>Solution!Print_Area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Lynch, Zachary (Zach)</dc:creator>
  <cp:lastModifiedBy>Lynch, Zachary (Zach)</cp:lastModifiedBy>
  <cp:lastPrinted>2021-02-13T20:20:46Z</cp:lastPrinted>
  <dcterms:created xsi:type="dcterms:W3CDTF">2020-06-18T12:57:46Z</dcterms:created>
  <dcterms:modified xsi:type="dcterms:W3CDTF">2021-02-13T20:33:51Z</dcterms:modified>
</cp:coreProperties>
</file>